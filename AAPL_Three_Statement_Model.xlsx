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Income Statement" sheetId="3" state="visible" r:id="rId5"/>
    <sheet name="Balance Sheet" sheetId="4" state="visible" r:id="rId6"/>
    <sheet name="Cash Flow" sheetId="5" state="visible" r:id="rId7"/>
    <sheet name="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<sst xmlns="http://schemas.openxmlformats.org/spreadsheetml/2006/main" count="187" uniqueCount="153">
  <si>
    <t xml:space="preserve">APPLE INC. (AAPL)</t>
  </si>
  <si>
    <t xml:space="preserve">Three-Statement Financial Model</t>
  </si>
  <si>
    <t xml:space="preserve">FY2021A – FY2023A Actuals  |  FY2024E – FY2026E Projections</t>
  </si>
  <si>
    <t xml:space="preserve">Data Source:</t>
  </si>
  <si>
    <t xml:space="preserve">Apple Inc. 10-K Filings (SEC EDGAR)</t>
  </si>
  <si>
    <t xml:space="preserve">Fiscal Year End:</t>
  </si>
  <si>
    <t xml:space="preserve">September 30</t>
  </si>
  <si>
    <t xml:space="preserve">Currency:</t>
  </si>
  <si>
    <t xml:space="preserve">USD ($ millions)</t>
  </si>
  <si>
    <t xml:space="preserve">Model Version:</t>
  </si>
  <si>
    <t xml:space="preserve">1.0</t>
  </si>
  <si>
    <t xml:space="preserve">Last Updated:</t>
  </si>
  <si>
    <t xml:space="preserve">April 2025</t>
  </si>
  <si>
    <t xml:space="preserve">Analyst:</t>
  </si>
  <si>
    <t xml:space="preserve">[Your Name]</t>
  </si>
  <si>
    <t xml:space="preserve">COLOR CODING LEGEND</t>
  </si>
  <si>
    <t xml:space="preserve">■  Hardcoded Inputs – numbers you can change</t>
  </si>
  <si>
    <t xml:space="preserve">■  Formulas – calculated automatically</t>
  </si>
  <si>
    <t xml:space="preserve">■  Cross-Sheet Links – pulling from another tab</t>
  </si>
  <si>
    <t xml:space="preserve">DISCLAIMER: This model is for educational and portfolio purposes only. All data sourced from public SEC filings. Not investment advice.</t>
  </si>
  <si>
    <t xml:space="preserve">KEY MODEL ASSUMPTIONS</t>
  </si>
  <si>
    <t xml:space="preserve">Apple Inc. (AAPL) | USD ($mm) | FY End: September 30</t>
  </si>
  <si>
    <t xml:space="preserve">Assumption</t>
  </si>
  <si>
    <t xml:space="preserve">FY2021A</t>
  </si>
  <si>
    <t xml:space="preserve">FY2022A</t>
  </si>
  <si>
    <t xml:space="preserve">FY2023A</t>
  </si>
  <si>
    <t xml:space="preserve">FY2024E</t>
  </si>
  <si>
    <t xml:space="preserve">FY2025E</t>
  </si>
  <si>
    <t xml:space="preserve">FY2026E</t>
  </si>
  <si>
    <t xml:space="preserve">  REVENUE ASSUMPTIONS</t>
  </si>
  <si>
    <t xml:space="preserve">Products Revenue ($mm)</t>
  </si>
  <si>
    <t xml:space="preserve">Services Revenue ($mm)</t>
  </si>
  <si>
    <t xml:space="preserve">Products YoY Growth</t>
  </si>
  <si>
    <t xml:space="preserve">N/A</t>
  </si>
  <si>
    <t xml:space="preserve">Services YoY Growth</t>
  </si>
  <si>
    <t xml:space="preserve">  MARGIN ASSUMPTIONS</t>
  </si>
  <si>
    <t xml:space="preserve">Gross Margin – Products</t>
  </si>
  <si>
    <t xml:space="preserve">Gross Margin – Services</t>
  </si>
  <si>
    <t xml:space="preserve">R&amp;D as % of Revenue</t>
  </si>
  <si>
    <t xml:space="preserve">SG&amp;A as % of Revenue</t>
  </si>
  <si>
    <t xml:space="preserve">  WORKING CAPITAL &amp; BALANCE SHEET ASSUMPTIONS</t>
  </si>
  <si>
    <t xml:space="preserve">DSO – Days Sales Outstanding</t>
  </si>
  <si>
    <t xml:space="preserve">DIO – Days Inventory Outstanding</t>
  </si>
  <si>
    <t xml:space="preserve">DPO – Days Payable Outstanding</t>
  </si>
  <si>
    <t xml:space="preserve">Capex as % of Revenue</t>
  </si>
  <si>
    <t xml:space="preserve">D&amp;A as % of Revenue</t>
  </si>
  <si>
    <t xml:space="preserve">Effective Tax Rate</t>
  </si>
  <si>
    <t xml:space="preserve">Source: Apple Inc. 10-K Filings FY2021–FY2023 (SEC EDGAR). Projections (FY2024E–FY2026E) are analyst estimates for illustrative purposes. Blue = hardcoded input.  Black = formula.  Green = cross-sheet link.</t>
  </si>
  <si>
    <t xml:space="preserve">INCOME STATEMENT</t>
  </si>
  <si>
    <t xml:space="preserve">$ in millions</t>
  </si>
  <si>
    <t xml:space="preserve">  REVENUE</t>
  </si>
  <si>
    <t xml:space="preserve">Products Revenue</t>
  </si>
  <si>
    <t xml:space="preserve">Services Revenue</t>
  </si>
  <si>
    <t xml:space="preserve">Total Net Revenue</t>
  </si>
  <si>
    <t xml:space="preserve">  YoY Revenue Growth</t>
  </si>
  <si>
    <t xml:space="preserve">  COST OF GOODS SOLD</t>
  </si>
  <si>
    <t xml:space="preserve">Products COGS</t>
  </si>
  <si>
    <t xml:space="preserve">Services COGS</t>
  </si>
  <si>
    <t xml:space="preserve">Total COGS</t>
  </si>
  <si>
    <t xml:space="preserve">GROSS PROFIT</t>
  </si>
  <si>
    <t xml:space="preserve">  Gross Margin %</t>
  </si>
  <si>
    <t xml:space="preserve">  OPERATING EXPENSES</t>
  </si>
  <si>
    <t xml:space="preserve">Research &amp; Development</t>
  </si>
  <si>
    <t xml:space="preserve">Selling, General &amp; Administrative</t>
  </si>
  <si>
    <t xml:space="preserve">Total Operating Expenses</t>
  </si>
  <si>
    <t xml:space="preserve">OPERATING INCOME (EBIT)</t>
  </si>
  <si>
    <t xml:space="preserve">  Operating Margin %</t>
  </si>
  <si>
    <t xml:space="preserve">  BELOW THE LINE</t>
  </si>
  <si>
    <t xml:space="preserve">Interest &amp; Other Income (Expense), net</t>
  </si>
  <si>
    <t xml:space="preserve">INCOME BEFORE TAXES (EBT)</t>
  </si>
  <si>
    <t xml:space="preserve">Income Tax Provision</t>
  </si>
  <si>
    <t xml:space="preserve">NET INCOME</t>
  </si>
  <si>
    <t xml:space="preserve">  Net Margin %</t>
  </si>
  <si>
    <t xml:space="preserve">  PER SHARE DATA</t>
  </si>
  <si>
    <t xml:space="preserve">Diluted Shares Outstanding (mm)</t>
  </si>
  <si>
    <t xml:space="preserve">Diluted EPS</t>
  </si>
  <si>
    <t xml:space="preserve">BALANCE SHEET</t>
  </si>
  <si>
    <t xml:space="preserve">  CURRENT ASSETS</t>
  </si>
  <si>
    <t xml:space="preserve">Cash &amp; Cash Equivalents</t>
  </si>
  <si>
    <t xml:space="preserve">Marketable Securities (ST)</t>
  </si>
  <si>
    <t xml:space="preserve">Accounts Receivable, net</t>
  </si>
  <si>
    <t xml:space="preserve">Inventories</t>
  </si>
  <si>
    <t xml:space="preserve">Other Current Assets</t>
  </si>
  <si>
    <t xml:space="preserve">TOTAL CURRENT ASSETS</t>
  </si>
  <si>
    <t xml:space="preserve">  NON-CURRENT ASSETS</t>
  </si>
  <si>
    <t xml:space="preserve">Marketable Securities (LT)</t>
  </si>
  <si>
    <t xml:space="preserve">Property, Plant &amp; Equipment, net</t>
  </si>
  <si>
    <t xml:space="preserve">Goodwill &amp; Intangibles</t>
  </si>
  <si>
    <t xml:space="preserve">Other Non-Current Assets</t>
  </si>
  <si>
    <t xml:space="preserve">TOTAL NON-CURRENT ASSETS</t>
  </si>
  <si>
    <t xml:space="preserve">TOTAL ASSETS</t>
  </si>
  <si>
    <t xml:space="preserve">  CURRENT LIABILITIES</t>
  </si>
  <si>
    <t xml:space="preserve">Accounts Payable</t>
  </si>
  <si>
    <t xml:space="preserve">Short-Term Debt &amp; Current Maturities</t>
  </si>
  <si>
    <t xml:space="preserve">Deferred Revenue (ST)</t>
  </si>
  <si>
    <t xml:space="preserve">Other Current Liabilities</t>
  </si>
  <si>
    <t xml:space="preserve">TOTAL CURRENT LIABILITIES</t>
  </si>
  <si>
    <t xml:space="preserve">  NON-CURRENT LIABILITIES</t>
  </si>
  <si>
    <t xml:space="preserve">Long-Term Debt</t>
  </si>
  <si>
    <t xml:space="preserve">Other Non-Current Liabilities</t>
  </si>
  <si>
    <t xml:space="preserve">TOTAL NON-CURRENT LIABILITIES</t>
  </si>
  <si>
    <t xml:space="preserve">TOTAL LIABILITIES</t>
  </si>
  <si>
    <t xml:space="preserve">  SHAREHOLDERS' EQUITY</t>
  </si>
  <si>
    <t xml:space="preserve">Common Stock &amp; APIC</t>
  </si>
  <si>
    <t xml:space="preserve">Retained Earnings (Accumulated Deficit)</t>
  </si>
  <si>
    <t xml:space="preserve">Accumulated Other Comprehensive Income (Loss)</t>
  </si>
  <si>
    <t xml:space="preserve">TOTAL SHAREHOLDERS' EQUITY</t>
  </si>
  <si>
    <t xml:space="preserve">TOTAL LIABILITIES &amp; EQUITY</t>
  </si>
  <si>
    <t xml:space="preserve">BALANCE CHECK (Assets = L+E)</t>
  </si>
  <si>
    <t xml:space="preserve">CASH FLOW STATEMENT</t>
  </si>
  <si>
    <t xml:space="preserve">  CASH FLOWS FROM OPERATING ACTIVITIES</t>
  </si>
  <si>
    <t xml:space="preserve">Net Income</t>
  </si>
  <si>
    <t xml:space="preserve">Depreciation &amp; Amortization</t>
  </si>
  <si>
    <t xml:space="preserve">Stock-Based Compensation</t>
  </si>
  <si>
    <t xml:space="preserve">Changes in Working Capital:</t>
  </si>
  <si>
    <t xml:space="preserve">  (Increase)/Decrease in Accounts Receivable</t>
  </si>
  <si>
    <t xml:space="preserve">  (Increase)/Decrease in Inventories</t>
  </si>
  <si>
    <t xml:space="preserve">  Increase/(Decrease) in Accounts Payable</t>
  </si>
  <si>
    <t xml:space="preserve">  Other Operating Changes</t>
  </si>
  <si>
    <t xml:space="preserve">CASH FROM OPERATIONS (CFO)</t>
  </si>
  <si>
    <t xml:space="preserve">  CASH FLOWS FROM INVESTING ACTIVITIES</t>
  </si>
  <si>
    <t xml:space="preserve">Capital Expenditures</t>
  </si>
  <si>
    <t xml:space="preserve">Purchases / Sales of Marketable Securities, net</t>
  </si>
  <si>
    <t xml:space="preserve">Other Investing Activities</t>
  </si>
  <si>
    <t xml:space="preserve">CASH FROM INVESTING (CFI)</t>
  </si>
  <si>
    <t xml:space="preserve">  CASH FLOWS FROM FINANCING ACTIVITIES</t>
  </si>
  <si>
    <t xml:space="preserve">Dividends Paid</t>
  </si>
  <si>
    <t xml:space="preserve">Share Repurchases</t>
  </si>
  <si>
    <t xml:space="preserve">Debt Issuance / (Repayment), net</t>
  </si>
  <si>
    <t xml:space="preserve">Other Financing Activities</t>
  </si>
  <si>
    <t xml:space="preserve">CASH FROM FINANCING (CFF)</t>
  </si>
  <si>
    <t xml:space="preserve">NET CHANGE IN CASH</t>
  </si>
  <si>
    <t xml:space="preserve">Beginning Cash &amp; Equivalents</t>
  </si>
  <si>
    <t xml:space="preserve">ENDING CASH &amp; EQUIVALENTS</t>
  </si>
  <si>
    <t xml:space="preserve">  FREE CASH FLOW SUMMARY</t>
  </si>
  <si>
    <t xml:space="preserve">Free Cash Flow (CFO + Capex)</t>
  </si>
  <si>
    <t xml:space="preserve">  FCF Margin %</t>
  </si>
  <si>
    <t xml:space="preserve">FINANCIAL SUMMARY DASHBOARD</t>
  </si>
  <si>
    <t xml:space="preserve">Key Metric</t>
  </si>
  <si>
    <t xml:space="preserve">  INCOME STATEMENT SUMMARY</t>
  </si>
  <si>
    <t xml:space="preserve">Total Revenue</t>
  </si>
  <si>
    <t xml:space="preserve">Gross Profit</t>
  </si>
  <si>
    <t xml:space="preserve">Gross Margin %</t>
  </si>
  <si>
    <t xml:space="preserve">EBIT (Operating Income)</t>
  </si>
  <si>
    <t xml:space="preserve">EBIT Margin %</t>
  </si>
  <si>
    <t xml:space="preserve">Net Margin %</t>
  </si>
  <si>
    <t xml:space="preserve">  CASH FLOW &amp; BALANCE SHEET SUMMARY</t>
  </si>
  <si>
    <t xml:space="preserve">Free Cash Flow</t>
  </si>
  <si>
    <t xml:space="preserve">FCF Margin %</t>
  </si>
  <si>
    <t xml:space="preserve">Ending Cash</t>
  </si>
  <si>
    <t xml:space="preserve">Total Assets</t>
  </si>
  <si>
    <t xml:space="preserve">Total Debt (ST+LT)</t>
  </si>
  <si>
    <t xml:space="preserve">Total Equity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</si>
</sst>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\$#,##0.00;&quot;($&quot;#,##0.00\);\-"/>
    <numFmt numFmtId="169" formatCode="@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D6E4F0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D6E4F0"/>
      </patternFill>
    </fill>
    <fill>
      <patternFill patternType="solid">
        <fgColor rgb="FFBDD7E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1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2F2F2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4" min="3" style="0" width="25"/>
  </cols>
  <sheetData>
    <row r="2" customFormat="false" ht="39.75" hidden="false" customHeight="true" outlineLevel="0" collapsed="false">
      <c r="B2" s="1" t="s">
        <v>0</v>
      </c>
      <c r="C2" s="1"/>
      <c r="D2" s="1"/>
    </row>
    <row r="3" customFormat="false" ht="27.75" hidden="false" customHeight="true" outlineLevel="0" collapsed="false">
      <c r="B3" s="2" t="s">
        <v>1</v>
      </c>
      <c r="C3" s="2"/>
      <c r="D3" s="2"/>
    </row>
    <row r="4" customFormat="false" ht="21.75" hidden="false" customHeight="true" outlineLevel="0" collapsed="false">
      <c r="B4" s="3" t="s">
        <v>2</v>
      </c>
      <c r="C4" s="3"/>
      <c r="D4" s="3"/>
    </row>
    <row r="6" customFormat="false" ht="18" hidden="false" customHeight="true" outlineLevel="0" collapsed="false">
      <c r="B6" s="4" t="s">
        <v>3</v>
      </c>
      <c r="C6" s="5" t="s">
        <v>4</v>
      </c>
    </row>
    <row r="7" customFormat="false" ht="18" hidden="false" customHeight="true" outlineLevel="0" collapsed="false">
      <c r="B7" s="4" t="s">
        <v>5</v>
      </c>
      <c r="C7" s="5" t="s">
        <v>6</v>
      </c>
    </row>
    <row r="8" customFormat="false" ht="18" hidden="false" customHeight="true" outlineLevel="0" collapsed="false">
      <c r="B8" s="4" t="s">
        <v>7</v>
      </c>
      <c r="C8" s="5" t="s">
        <v>8</v>
      </c>
    </row>
    <row r="9" customFormat="false" ht="18" hidden="false" customHeight="true" outlineLevel="0" collapsed="false">
      <c r="B9" s="4" t="s">
        <v>9</v>
      </c>
      <c r="C9" s="5" t="s">
        <v>10</v>
      </c>
    </row>
    <row r="10" customFormat="false" ht="18" hidden="false" customHeight="true" outlineLevel="0" collapsed="false">
      <c r="B10" s="4" t="s">
        <v>11</v>
      </c>
      <c r="C10" s="5" t="s">
        <v>12</v>
      </c>
    </row>
    <row r="11" customFormat="false" ht="18" hidden="false" customHeight="true" outlineLevel="0" collapsed="false">
      <c r="B11" s="4" t="s">
        <v>13</v>
      </c>
      <c r="C11" s="5" t="s">
        <v>14</v>
      </c>
    </row>
    <row r="13" customFormat="false" ht="15.75" hidden="false" customHeight="true" outlineLevel="0" collapsed="false">
      <c r="B13" s="6" t="s">
        <v>15</v>
      </c>
    </row>
    <row r="14" customFormat="false" ht="15.75" hidden="false" customHeight="true" outlineLevel="0" collapsed="false">
      <c r="B14" s="7" t="s">
        <v>16</v>
      </c>
    </row>
    <row r="15" customFormat="false" ht="15.75" hidden="false" customHeight="true" outlineLevel="0" collapsed="false">
      <c r="B15" s="8" t="s">
        <v>17</v>
      </c>
    </row>
    <row r="16" customFormat="false" ht="15.75" hidden="false" customHeight="true" outlineLevel="0" collapsed="false">
      <c r="B16" s="9" t="s">
        <v>18</v>
      </c>
    </row>
    <row r="18" customFormat="false" ht="15" hidden="false" customHeight="true" outlineLevel="0" collapsed="false">
      <c r="B18" s="10" t="s">
        <v>19</v>
      </c>
      <c r="C18" s="10"/>
      <c r="D18" s="10"/>
    </row>
    <row r="19" customFormat="false" ht="15" hidden="false" customHeight="false" outlineLevel="0" collapsed="false">
      <c r="B19" s="10"/>
      <c r="C19" s="10"/>
      <c r="D19" s="10"/>
    </row>
    <row r="20" customFormat="false" ht="15" hidden="false" customHeight="false" outlineLevel="0" collapsed="false">
      <c r="B20" s="10"/>
      <c r="C20" s="10"/>
      <c r="D20" s="10"/>
    </row>
  </sheetData>
  <mergeCells count="4">
    <mergeCell ref="B2:D2"/>
    <mergeCell ref="B3:D3"/>
    <mergeCell ref="B4:D4"/>
    <mergeCell ref="B18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4"/>
  </cols>
  <sheetData>
    <row r="1" customFormat="false" ht="30" hidden="false" customHeight="true" outlineLevel="0" collapsed="false">
      <c r="B1" s="11" t="s">
        <v>20</v>
      </c>
      <c r="C1" s="11"/>
      <c r="D1" s="11"/>
      <c r="E1" s="11"/>
      <c r="F1" s="11"/>
      <c r="G1" s="11"/>
      <c r="H1" s="11"/>
    </row>
    <row r="2" customFormat="false" ht="15" hidden="false" customHeight="false" outlineLevel="0" collapsed="false">
      <c r="B2" s="12" t="s">
        <v>21</v>
      </c>
      <c r="C2" s="12"/>
      <c r="D2" s="12"/>
      <c r="E2" s="12"/>
      <c r="F2" s="12"/>
      <c r="G2" s="12"/>
      <c r="H2" s="12"/>
    </row>
    <row r="3" customFormat="false" ht="21.75" hidden="false" customHeight="true" outlineLevel="0" collapsed="false">
      <c r="B3" s="13" t="s">
        <v>22</v>
      </c>
      <c r="C3" s="14" t="s">
        <v>23</v>
      </c>
      <c r="D3" s="14" t="s">
        <v>24</v>
      </c>
      <c r="E3" s="14" t="s">
        <v>25</v>
      </c>
      <c r="F3" s="14" t="s">
        <v>26</v>
      </c>
      <c r="G3" s="14" t="s">
        <v>27</v>
      </c>
      <c r="H3" s="14" t="s">
        <v>28</v>
      </c>
    </row>
    <row r="4" customFormat="false" ht="18" hidden="false" customHeight="true" outlineLevel="0" collapsed="false">
      <c r="B4" s="15" t="s">
        <v>29</v>
      </c>
      <c r="C4" s="15"/>
      <c r="D4" s="15"/>
      <c r="E4" s="15"/>
      <c r="F4" s="15"/>
      <c r="G4" s="15"/>
      <c r="H4" s="15"/>
    </row>
    <row r="5" customFormat="false" ht="16.5" hidden="false" customHeight="true" outlineLevel="0" collapsed="false">
      <c r="B5" s="16" t="s">
        <v>30</v>
      </c>
      <c r="C5" s="17" t="n">
        <v>297392</v>
      </c>
      <c r="D5" s="17" t="n">
        <v>316199</v>
      </c>
      <c r="E5" s="17" t="n">
        <v>298085</v>
      </c>
      <c r="F5" s="17" t="n">
        <v>310408</v>
      </c>
      <c r="G5" s="17" t="n">
        <v>323525</v>
      </c>
      <c r="H5" s="17" t="n">
        <v>337652</v>
      </c>
    </row>
    <row r="6" customFormat="false" ht="16.5" hidden="false" customHeight="true" outlineLevel="0" collapsed="false">
      <c r="B6" s="18" t="s">
        <v>31</v>
      </c>
      <c r="C6" s="19" t="n">
        <v>68425</v>
      </c>
      <c r="D6" s="19" t="n">
        <v>78129</v>
      </c>
      <c r="E6" s="19" t="n">
        <v>85200</v>
      </c>
      <c r="F6" s="19" t="n">
        <v>96169</v>
      </c>
      <c r="G6" s="19" t="n">
        <v>108831</v>
      </c>
      <c r="H6" s="19" t="n">
        <v>122980</v>
      </c>
    </row>
    <row r="7" customFormat="false" ht="16.5" hidden="false" customHeight="true" outlineLevel="0" collapsed="false">
      <c r="B7" s="16" t="s">
        <v>32</v>
      </c>
      <c r="C7" s="20" t="s">
        <v>33</v>
      </c>
      <c r="D7" s="21" t="n">
        <v>0.063</v>
      </c>
      <c r="E7" s="21" t="n">
        <v>-0.057</v>
      </c>
      <c r="F7" s="21" t="n">
        <v>0.042</v>
      </c>
      <c r="G7" s="21" t="n">
        <v>0.042</v>
      </c>
      <c r="H7" s="21" t="n">
        <v>0.043</v>
      </c>
    </row>
    <row r="8" customFormat="false" ht="16.5" hidden="false" customHeight="true" outlineLevel="0" collapsed="false">
      <c r="B8" s="18" t="s">
        <v>34</v>
      </c>
      <c r="C8" s="22" t="s">
        <v>33</v>
      </c>
      <c r="D8" s="23" t="n">
        <v>0.142</v>
      </c>
      <c r="E8" s="23" t="n">
        <v>0.09</v>
      </c>
      <c r="F8" s="23" t="n">
        <v>0.129</v>
      </c>
      <c r="G8" s="23" t="n">
        <v>0.132</v>
      </c>
      <c r="H8" s="23" t="n">
        <v>0.131</v>
      </c>
    </row>
    <row r="9" customFormat="false" ht="18" hidden="false" customHeight="true" outlineLevel="0" collapsed="false">
      <c r="B9" s="15" t="s">
        <v>35</v>
      </c>
      <c r="C9" s="15"/>
      <c r="D9" s="15"/>
      <c r="E9" s="15"/>
      <c r="F9" s="15"/>
      <c r="G9" s="15"/>
      <c r="H9" s="15"/>
    </row>
    <row r="10" customFormat="false" ht="16.5" hidden="false" customHeight="true" outlineLevel="0" collapsed="false">
      <c r="B10" s="16" t="s">
        <v>36</v>
      </c>
      <c r="C10" s="21" t="n">
        <v>0.352</v>
      </c>
      <c r="D10" s="21" t="n">
        <v>0.364</v>
      </c>
      <c r="E10" s="21" t="n">
        <v>0.364</v>
      </c>
      <c r="F10" s="21" t="n">
        <v>0.37</v>
      </c>
      <c r="G10" s="21" t="n">
        <v>0.375</v>
      </c>
      <c r="H10" s="21" t="n">
        <v>0.38</v>
      </c>
    </row>
    <row r="11" customFormat="false" ht="16.5" hidden="false" customHeight="true" outlineLevel="0" collapsed="false">
      <c r="B11" s="18" t="s">
        <v>37</v>
      </c>
      <c r="C11" s="23" t="n">
        <v>0.698</v>
      </c>
      <c r="D11" s="23" t="n">
        <v>0.728</v>
      </c>
      <c r="E11" s="23" t="n">
        <v>0.708</v>
      </c>
      <c r="F11" s="23" t="n">
        <v>0.74</v>
      </c>
      <c r="G11" s="23" t="n">
        <v>0.75</v>
      </c>
      <c r="H11" s="23" t="n">
        <v>0.755</v>
      </c>
    </row>
    <row r="12" customFormat="false" ht="16.5" hidden="false" customHeight="true" outlineLevel="0" collapsed="false">
      <c r="B12" s="16" t="s">
        <v>38</v>
      </c>
      <c r="C12" s="21" t="n">
        <v>0.062</v>
      </c>
      <c r="D12" s="21" t="n">
        <v>0.067</v>
      </c>
      <c r="E12" s="21" t="n">
        <v>0.078</v>
      </c>
      <c r="F12" s="21" t="n">
        <v>0.075</v>
      </c>
      <c r="G12" s="21" t="n">
        <v>0.074</v>
      </c>
      <c r="H12" s="21" t="n">
        <v>0.073</v>
      </c>
    </row>
    <row r="13" customFormat="false" ht="16.5" hidden="false" customHeight="true" outlineLevel="0" collapsed="false">
      <c r="B13" s="18" t="s">
        <v>39</v>
      </c>
      <c r="C13" s="23" t="n">
        <v>0.064</v>
      </c>
      <c r="D13" s="23" t="n">
        <v>0.063</v>
      </c>
      <c r="E13" s="23" t="n">
        <v>0.063</v>
      </c>
      <c r="F13" s="23" t="n">
        <v>0.062</v>
      </c>
      <c r="G13" s="23" t="n">
        <v>0.061</v>
      </c>
      <c r="H13" s="23" t="n">
        <v>0.06</v>
      </c>
    </row>
    <row r="14" customFormat="false" ht="18" hidden="false" customHeight="true" outlineLevel="0" collapsed="false">
      <c r="B14" s="15" t="s">
        <v>40</v>
      </c>
      <c r="C14" s="15"/>
      <c r="D14" s="15"/>
      <c r="E14" s="15"/>
      <c r="F14" s="15"/>
      <c r="G14" s="15"/>
      <c r="H14" s="15"/>
    </row>
    <row r="15" customFormat="false" ht="16.5" hidden="false" customHeight="true" outlineLevel="0" collapsed="false">
      <c r="B15" s="16" t="s">
        <v>41</v>
      </c>
      <c r="C15" s="24" t="n">
        <v>29</v>
      </c>
      <c r="D15" s="24" t="n">
        <v>26</v>
      </c>
      <c r="E15" s="24" t="n">
        <v>27</v>
      </c>
      <c r="F15" s="24" t="n">
        <v>27</v>
      </c>
      <c r="G15" s="24" t="n">
        <v>27</v>
      </c>
      <c r="H15" s="24" t="n">
        <v>27</v>
      </c>
    </row>
    <row r="16" customFormat="false" ht="16.5" hidden="false" customHeight="true" outlineLevel="0" collapsed="false">
      <c r="B16" s="18" t="s">
        <v>42</v>
      </c>
      <c r="C16" s="25" t="n">
        <v>9</v>
      </c>
      <c r="D16" s="25" t="n">
        <v>6</v>
      </c>
      <c r="E16" s="25" t="n">
        <v>7</v>
      </c>
      <c r="F16" s="25" t="n">
        <v>7</v>
      </c>
      <c r="G16" s="25" t="n">
        <v>7</v>
      </c>
      <c r="H16" s="25" t="n">
        <v>7</v>
      </c>
    </row>
    <row r="17" customFormat="false" ht="16.5" hidden="false" customHeight="true" outlineLevel="0" collapsed="false">
      <c r="B17" s="16" t="s">
        <v>43</v>
      </c>
      <c r="C17" s="24" t="n">
        <v>105</v>
      </c>
      <c r="D17" s="24" t="n">
        <v>105</v>
      </c>
      <c r="E17" s="24" t="n">
        <v>105</v>
      </c>
      <c r="F17" s="24" t="n">
        <v>105</v>
      </c>
      <c r="G17" s="24" t="n">
        <v>105</v>
      </c>
      <c r="H17" s="24" t="n">
        <v>105</v>
      </c>
    </row>
    <row r="18" customFormat="false" ht="16.5" hidden="false" customHeight="true" outlineLevel="0" collapsed="false">
      <c r="B18" s="18" t="s">
        <v>44</v>
      </c>
      <c r="C18" s="23" t="n">
        <v>0.022</v>
      </c>
      <c r="D18" s="23" t="n">
        <v>0.028</v>
      </c>
      <c r="E18" s="23" t="n">
        <v>0.029</v>
      </c>
      <c r="F18" s="23" t="n">
        <v>0.028</v>
      </c>
      <c r="G18" s="23" t="n">
        <v>0.028</v>
      </c>
      <c r="H18" s="23" t="n">
        <v>0.027</v>
      </c>
    </row>
    <row r="19" customFormat="false" ht="16.5" hidden="false" customHeight="true" outlineLevel="0" collapsed="false">
      <c r="B19" s="16" t="s">
        <v>45</v>
      </c>
      <c r="C19" s="21" t="n">
        <v>0.03</v>
      </c>
      <c r="D19" s="21" t="n">
        <v>0.029</v>
      </c>
      <c r="E19" s="21" t="n">
        <v>0.031</v>
      </c>
      <c r="F19" s="21" t="n">
        <v>0.03</v>
      </c>
      <c r="G19" s="21" t="n">
        <v>0.03</v>
      </c>
      <c r="H19" s="21" t="n">
        <v>0.029</v>
      </c>
    </row>
    <row r="20" customFormat="false" ht="16.5" hidden="false" customHeight="true" outlineLevel="0" collapsed="false">
      <c r="B20" s="18" t="s">
        <v>46</v>
      </c>
      <c r="C20" s="23" t="n">
        <v>0.133</v>
      </c>
      <c r="D20" s="23" t="n">
        <v>0.162</v>
      </c>
      <c r="E20" s="23" t="n">
        <v>0.147</v>
      </c>
      <c r="F20" s="23" t="n">
        <v>0.15</v>
      </c>
      <c r="G20" s="23" t="n">
        <v>0.15</v>
      </c>
      <c r="H20" s="23" t="n">
        <v>0.15</v>
      </c>
    </row>
    <row r="22" customFormat="false" ht="30" hidden="false" customHeight="true" outlineLevel="0" collapsed="false">
      <c r="B22" s="26" t="s">
        <v>47</v>
      </c>
      <c r="C22" s="26"/>
      <c r="D22" s="26"/>
      <c r="E22" s="26"/>
      <c r="F22" s="26"/>
      <c r="G22" s="26"/>
      <c r="H22" s="26"/>
    </row>
  </sheetData>
  <mergeCells count="6">
    <mergeCell ref="B1:H1"/>
    <mergeCell ref="B2:H2"/>
    <mergeCell ref="B4:H4"/>
    <mergeCell ref="B9:H9"/>
    <mergeCell ref="B14:H14"/>
    <mergeCell ref="B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8" min="3" style="0" width="14"/>
  </cols>
  <sheetData>
    <row r="1" customFormat="false" ht="30" hidden="false" customHeight="true" outlineLevel="0" collapsed="false">
      <c r="B1" s="11" t="s">
        <v>48</v>
      </c>
      <c r="C1" s="11"/>
      <c r="D1" s="11"/>
      <c r="E1" s="11"/>
      <c r="F1" s="11"/>
      <c r="G1" s="11"/>
      <c r="H1" s="11"/>
    </row>
    <row r="2" customFormat="false" ht="15" hidden="false" customHeight="false" outlineLevel="0" collapsed="false">
      <c r="B2" s="12" t="s">
        <v>21</v>
      </c>
      <c r="C2" s="12"/>
      <c r="D2" s="12"/>
      <c r="E2" s="12"/>
      <c r="F2" s="12"/>
      <c r="G2" s="12"/>
      <c r="H2" s="12"/>
    </row>
    <row r="3" customFormat="false" ht="19.5" hidden="false" customHeight="true" outlineLevel="0" collapsed="false">
      <c r="B3" s="27" t="s">
        <v>49</v>
      </c>
      <c r="C3" s="28" t="s">
        <v>23</v>
      </c>
      <c r="D3" s="28" t="s">
        <v>24</v>
      </c>
      <c r="E3" s="28" t="s">
        <v>25</v>
      </c>
      <c r="F3" s="29" t="s">
        <v>26</v>
      </c>
      <c r="G3" s="29" t="s">
        <v>27</v>
      </c>
      <c r="H3" s="29" t="s">
        <v>28</v>
      </c>
    </row>
    <row r="4" customFormat="false" ht="18" hidden="false" customHeight="true" outlineLevel="0" collapsed="false">
      <c r="B4" s="15" t="s">
        <v>50</v>
      </c>
      <c r="C4" s="15"/>
      <c r="D4" s="15"/>
      <c r="E4" s="15"/>
      <c r="F4" s="15"/>
      <c r="G4" s="15"/>
      <c r="H4" s="15"/>
    </row>
    <row r="5" customFormat="false" ht="16.5" hidden="false" customHeight="true" outlineLevel="0" collapsed="false">
      <c r="B5" s="16" t="s">
        <v>51</v>
      </c>
      <c r="C5" s="17" t="n">
        <v>297392</v>
      </c>
      <c r="D5" s="17" t="n">
        <v>316199</v>
      </c>
      <c r="E5" s="17" t="n">
        <v>298085</v>
      </c>
      <c r="F5" s="30" t="n">
        <f aca="false">Assumptions!F5</f>
        <v>310408</v>
      </c>
      <c r="G5" s="30" t="n">
        <f aca="false">Assumptions!G5</f>
        <v>323525</v>
      </c>
      <c r="H5" s="30" t="n">
        <f aca="false">Assumptions!H5</f>
        <v>337652</v>
      </c>
    </row>
    <row r="6" customFormat="false" ht="16.5" hidden="false" customHeight="true" outlineLevel="0" collapsed="false">
      <c r="B6" s="18" t="s">
        <v>52</v>
      </c>
      <c r="C6" s="19" t="n">
        <v>68425</v>
      </c>
      <c r="D6" s="19" t="n">
        <v>78129</v>
      </c>
      <c r="E6" s="19" t="n">
        <v>85200</v>
      </c>
      <c r="F6" s="31" t="n">
        <f aca="false">Assumptions!F6</f>
        <v>96169</v>
      </c>
      <c r="G6" s="31" t="n">
        <f aca="false">Assumptions!G6</f>
        <v>108831</v>
      </c>
      <c r="H6" s="31" t="n">
        <f aca="false">Assumptions!H6</f>
        <v>122980</v>
      </c>
    </row>
    <row r="7" customFormat="false" ht="16.5" hidden="false" customHeight="true" outlineLevel="0" collapsed="false">
      <c r="B7" s="32" t="s">
        <v>53</v>
      </c>
      <c r="C7" s="33" t="n">
        <f aca="false">C5+C6</f>
        <v>365817</v>
      </c>
      <c r="D7" s="33" t="n">
        <f aca="false">D5+D6</f>
        <v>394328</v>
      </c>
      <c r="E7" s="33" t="n">
        <f aca="false">E5+E6</f>
        <v>383285</v>
      </c>
      <c r="F7" s="33" t="n">
        <f aca="false">F5+F6</f>
        <v>406577</v>
      </c>
      <c r="G7" s="33" t="n">
        <f aca="false">G5+G6</f>
        <v>432356</v>
      </c>
      <c r="H7" s="33" t="n">
        <f aca="false">H5+H6</f>
        <v>460632</v>
      </c>
    </row>
    <row r="8" customFormat="false" ht="15.75" hidden="false" customHeight="true" outlineLevel="0" collapsed="false">
      <c r="B8" s="34" t="s">
        <v>54</v>
      </c>
      <c r="C8" s="35" t="s">
        <v>33</v>
      </c>
      <c r="D8" s="36" t="n">
        <f aca="false">(D7-C7)/C7</f>
        <v>0.0779378760418461</v>
      </c>
      <c r="E8" s="36" t="n">
        <f aca="false">(E7-D7)/D7</f>
        <v>-0.0280046053031994</v>
      </c>
      <c r="F8" s="36" t="n">
        <f aca="false">(F7-E7)/E7</f>
        <v>0.0607694013593018</v>
      </c>
      <c r="G8" s="36" t="n">
        <f aca="false">(G7-F7)/F7</f>
        <v>0.0634049638813804</v>
      </c>
      <c r="H8" s="36" t="n">
        <f aca="false">(H7-G7)/G7</f>
        <v>0.0653998094163143</v>
      </c>
    </row>
    <row r="9" customFormat="false" ht="18" hidden="false" customHeight="true" outlineLevel="0" collapsed="false">
      <c r="B9" s="15" t="s">
        <v>55</v>
      </c>
      <c r="C9" s="15"/>
      <c r="D9" s="15"/>
      <c r="E9" s="15"/>
      <c r="F9" s="15"/>
      <c r="G9" s="15"/>
      <c r="H9" s="15"/>
    </row>
    <row r="10" customFormat="false" ht="16.5" hidden="false" customHeight="true" outlineLevel="0" collapsed="false">
      <c r="B10" s="16" t="s">
        <v>56</v>
      </c>
      <c r="C10" s="17" t="n">
        <v>192773</v>
      </c>
      <c r="D10" s="17" t="n">
        <v>201471</v>
      </c>
      <c r="E10" s="17" t="n">
        <v>189282</v>
      </c>
      <c r="F10" s="37" t="n">
        <f aca="false">F5*(1-Assumptions!F9)</f>
        <v>310408</v>
      </c>
      <c r="G10" s="37" t="n">
        <f aca="false">G5*(1-Assumptions!G9)</f>
        <v>323525</v>
      </c>
      <c r="H10" s="37" t="n">
        <f aca="false">H5*(1-Assumptions!H9)</f>
        <v>337652</v>
      </c>
    </row>
    <row r="11" customFormat="false" ht="16.5" hidden="false" customHeight="true" outlineLevel="0" collapsed="false">
      <c r="B11" s="18" t="s">
        <v>57</v>
      </c>
      <c r="C11" s="19" t="n">
        <v>20715</v>
      </c>
      <c r="D11" s="19" t="n">
        <v>21271</v>
      </c>
      <c r="E11" s="19" t="n">
        <v>24855</v>
      </c>
      <c r="F11" s="38" t="n">
        <f aca="false">F6*(1-Assumptions!F10)</f>
        <v>60586.47</v>
      </c>
      <c r="G11" s="38" t="n">
        <f aca="false">G6*(1-Assumptions!G10)</f>
        <v>68019.375</v>
      </c>
      <c r="H11" s="38" t="n">
        <f aca="false">H6*(1-Assumptions!H10)</f>
        <v>76247.6</v>
      </c>
    </row>
    <row r="12" customFormat="false" ht="16.5" hidden="false" customHeight="true" outlineLevel="0" collapsed="false">
      <c r="B12" s="32" t="s">
        <v>58</v>
      </c>
      <c r="C12" s="33" t="n">
        <f aca="false">C10+C11</f>
        <v>213488</v>
      </c>
      <c r="D12" s="33" t="n">
        <f aca="false">D10+D11</f>
        <v>222742</v>
      </c>
      <c r="E12" s="33" t="n">
        <f aca="false">E10+E11</f>
        <v>214137</v>
      </c>
      <c r="F12" s="33" t="n">
        <f aca="false">F10+F11</f>
        <v>370994.47</v>
      </c>
      <c r="G12" s="33" t="n">
        <f aca="false">G10+G11</f>
        <v>391544.375</v>
      </c>
      <c r="H12" s="33" t="n">
        <f aca="false">H10+H11</f>
        <v>413899.6</v>
      </c>
    </row>
    <row r="13" customFormat="false" ht="16.5" hidden="false" customHeight="true" outlineLevel="0" collapsed="false">
      <c r="B13" s="32" t="s">
        <v>59</v>
      </c>
      <c r="C13" s="33" t="n">
        <f aca="false">C7-C12</f>
        <v>152329</v>
      </c>
      <c r="D13" s="33" t="n">
        <f aca="false">D7-D12</f>
        <v>171586</v>
      </c>
      <c r="E13" s="33" t="n">
        <f aca="false">E7-E12</f>
        <v>169148</v>
      </c>
      <c r="F13" s="33" t="n">
        <f aca="false">F7-F12</f>
        <v>35582.53</v>
      </c>
      <c r="G13" s="33" t="n">
        <f aca="false">G7-G12</f>
        <v>40811.625</v>
      </c>
      <c r="H13" s="33" t="n">
        <f aca="false">H7-H12</f>
        <v>46732.4</v>
      </c>
    </row>
    <row r="14" customFormat="false" ht="15.75" hidden="false" customHeight="true" outlineLevel="0" collapsed="false">
      <c r="B14" s="34" t="s">
        <v>60</v>
      </c>
      <c r="C14" s="36" t="n">
        <f aca="false">C13/C7</f>
        <v>0.416407657380603</v>
      </c>
      <c r="D14" s="36" t="n">
        <f aca="false">D13/D7</f>
        <v>0.435135217382484</v>
      </c>
      <c r="E14" s="36" t="n">
        <f aca="false">E13/E7</f>
        <v>0.441311295772076</v>
      </c>
      <c r="F14" s="36" t="n">
        <f aca="false">F13/F7</f>
        <v>0.0875173214421869</v>
      </c>
      <c r="G14" s="36" t="n">
        <f aca="false">G13/G7</f>
        <v>0.0943935668754452</v>
      </c>
      <c r="H14" s="36" t="n">
        <f aca="false">H13/H7</f>
        <v>0.101452786606228</v>
      </c>
    </row>
    <row r="15" customFormat="false" ht="18" hidden="false" customHeight="true" outlineLevel="0" collapsed="false">
      <c r="B15" s="15" t="s">
        <v>61</v>
      </c>
      <c r="C15" s="15"/>
      <c r="D15" s="15"/>
      <c r="E15" s="15"/>
      <c r="F15" s="15"/>
      <c r="G15" s="15"/>
      <c r="H15" s="15"/>
    </row>
    <row r="16" customFormat="false" ht="16.5" hidden="false" customHeight="true" outlineLevel="0" collapsed="false">
      <c r="B16" s="16" t="s">
        <v>62</v>
      </c>
      <c r="C16" s="17" t="n">
        <v>21914</v>
      </c>
      <c r="D16" s="17" t="n">
        <v>26251</v>
      </c>
      <c r="E16" s="17" t="n">
        <v>29915</v>
      </c>
      <c r="F16" s="37" t="n">
        <f aca="false">F7*Assumptions!F11</f>
        <v>300866.98</v>
      </c>
      <c r="G16" s="37" t="n">
        <f aca="false">G7*Assumptions!G11</f>
        <v>324267</v>
      </c>
      <c r="H16" s="37" t="n">
        <f aca="false">H7*Assumptions!H11</f>
        <v>347777.16</v>
      </c>
    </row>
    <row r="17" customFormat="false" ht="16.5" hidden="false" customHeight="true" outlineLevel="0" collapsed="false">
      <c r="B17" s="18" t="s">
        <v>63</v>
      </c>
      <c r="C17" s="19" t="n">
        <v>21973</v>
      </c>
      <c r="D17" s="19" t="n">
        <v>25094</v>
      </c>
      <c r="E17" s="19" t="n">
        <v>24932</v>
      </c>
      <c r="F17" s="38" t="n">
        <f aca="false">F7*Assumptions!F12</f>
        <v>30493.275</v>
      </c>
      <c r="G17" s="38" t="n">
        <f aca="false">G7*Assumptions!G12</f>
        <v>31994.344</v>
      </c>
      <c r="H17" s="38" t="n">
        <f aca="false">H7*Assumptions!H12</f>
        <v>33626.136</v>
      </c>
    </row>
    <row r="18" customFormat="false" ht="16.5" hidden="false" customHeight="true" outlineLevel="0" collapsed="false">
      <c r="B18" s="32" t="s">
        <v>64</v>
      </c>
      <c r="C18" s="33" t="n">
        <f aca="false">C16+C17</f>
        <v>43887</v>
      </c>
      <c r="D18" s="33" t="n">
        <f aca="false">D16+D17</f>
        <v>51345</v>
      </c>
      <c r="E18" s="33" t="n">
        <f aca="false">E16+E17</f>
        <v>54847</v>
      </c>
      <c r="F18" s="33" t="n">
        <f aca="false">F16+F17</f>
        <v>331360.255</v>
      </c>
      <c r="G18" s="33" t="n">
        <f aca="false">G16+G17</f>
        <v>356261.344</v>
      </c>
      <c r="H18" s="33" t="n">
        <f aca="false">H16+H17</f>
        <v>381403.296</v>
      </c>
    </row>
    <row r="19" customFormat="false" ht="16.5" hidden="false" customHeight="true" outlineLevel="0" collapsed="false">
      <c r="B19" s="32" t="s">
        <v>65</v>
      </c>
      <c r="C19" s="33" t="n">
        <f aca="false">C13-C18</f>
        <v>108442</v>
      </c>
      <c r="D19" s="33" t="n">
        <f aca="false">D13-D18</f>
        <v>120241</v>
      </c>
      <c r="E19" s="33" t="n">
        <f aca="false">E13-E18</f>
        <v>114301</v>
      </c>
      <c r="F19" s="33" t="n">
        <f aca="false">F13-F18</f>
        <v>-295777.725</v>
      </c>
      <c r="G19" s="33" t="n">
        <f aca="false">G13-G18</f>
        <v>-315449.719</v>
      </c>
      <c r="H19" s="33" t="n">
        <f aca="false">H13-H18</f>
        <v>-334670.896</v>
      </c>
    </row>
    <row r="20" customFormat="false" ht="15.75" hidden="false" customHeight="true" outlineLevel="0" collapsed="false">
      <c r="B20" s="34" t="s">
        <v>66</v>
      </c>
      <c r="C20" s="36" t="n">
        <f aca="false">C19/C7</f>
        <v>0.296437836404541</v>
      </c>
      <c r="D20" s="36" t="n">
        <f aca="false">D19/D7</f>
        <v>0.304926355724169</v>
      </c>
      <c r="E20" s="36" t="n">
        <f aca="false">E19/E7</f>
        <v>0.298214122650247</v>
      </c>
      <c r="F20" s="36" t="n">
        <f aca="false">F19/F7</f>
        <v>-0.727482678557813</v>
      </c>
      <c r="G20" s="36" t="n">
        <f aca="false">G19/G7</f>
        <v>-0.729606433124555</v>
      </c>
      <c r="H20" s="36" t="n">
        <f aca="false">H19/H7</f>
        <v>-0.726547213393772</v>
      </c>
    </row>
    <row r="21" customFormat="false" ht="18" hidden="false" customHeight="true" outlineLevel="0" collapsed="false">
      <c r="B21" s="15" t="s">
        <v>67</v>
      </c>
      <c r="C21" s="15"/>
      <c r="D21" s="15"/>
      <c r="E21" s="15"/>
      <c r="F21" s="15"/>
      <c r="G21" s="15"/>
      <c r="H21" s="15"/>
    </row>
    <row r="22" customFormat="false" ht="16.5" hidden="false" customHeight="true" outlineLevel="0" collapsed="false">
      <c r="B22" s="16" t="s">
        <v>68</v>
      </c>
      <c r="C22" s="17" t="n">
        <v>258</v>
      </c>
      <c r="D22" s="17" t="n">
        <v>-334</v>
      </c>
      <c r="E22" s="17" t="n">
        <v>-565</v>
      </c>
      <c r="F22" s="17" t="n">
        <v>-600</v>
      </c>
      <c r="G22" s="17" t="n">
        <v>-600</v>
      </c>
      <c r="H22" s="17" t="n">
        <v>-600</v>
      </c>
    </row>
    <row r="23" customFormat="false" ht="16.5" hidden="false" customHeight="true" outlineLevel="0" collapsed="false">
      <c r="B23" s="32" t="s">
        <v>69</v>
      </c>
      <c r="C23" s="33" t="n">
        <f aca="false">C19+C22</f>
        <v>108700</v>
      </c>
      <c r="D23" s="33" t="n">
        <f aca="false">D19+D22</f>
        <v>119907</v>
      </c>
      <c r="E23" s="33" t="n">
        <f aca="false">E19+E22</f>
        <v>113736</v>
      </c>
      <c r="F23" s="33" t="n">
        <f aca="false">F19+F22</f>
        <v>-296377.725</v>
      </c>
      <c r="G23" s="33" t="n">
        <f aca="false">G19+G22</f>
        <v>-316049.719</v>
      </c>
      <c r="H23" s="33" t="n">
        <f aca="false">H19+H22</f>
        <v>-335270.896</v>
      </c>
    </row>
    <row r="24" customFormat="false" ht="16.5" hidden="false" customHeight="true" outlineLevel="0" collapsed="false">
      <c r="B24" s="16" t="s">
        <v>70</v>
      </c>
      <c r="C24" s="17" t="n">
        <v>14527</v>
      </c>
      <c r="D24" s="17" t="n">
        <v>19300</v>
      </c>
      <c r="E24" s="17" t="n">
        <v>29749</v>
      </c>
      <c r="F24" s="37" t="n">
        <f aca="false">F23*Assumptions!F20</f>
        <v>-44456.65875</v>
      </c>
      <c r="G24" s="37" t="n">
        <f aca="false">G23*Assumptions!G20</f>
        <v>-47407.45785</v>
      </c>
      <c r="H24" s="37" t="n">
        <f aca="false">H23*Assumptions!H20</f>
        <v>-50290.6344</v>
      </c>
    </row>
    <row r="25" customFormat="false" ht="18" hidden="false" customHeight="true" outlineLevel="0" collapsed="false">
      <c r="B25" s="32" t="s">
        <v>71</v>
      </c>
      <c r="C25" s="33" t="n">
        <f aca="false">C23-C24</f>
        <v>94173</v>
      </c>
      <c r="D25" s="33" t="n">
        <f aca="false">D23-D24</f>
        <v>100607</v>
      </c>
      <c r="E25" s="33" t="n">
        <f aca="false">E23-E24</f>
        <v>83987</v>
      </c>
      <c r="F25" s="33" t="n">
        <f aca="false">F23-F24</f>
        <v>-251921.06625</v>
      </c>
      <c r="G25" s="33" t="n">
        <f aca="false">G23-G24</f>
        <v>-268642.26115</v>
      </c>
      <c r="H25" s="33" t="n">
        <f aca="false">H23-H24</f>
        <v>-284980.2616</v>
      </c>
    </row>
    <row r="26" customFormat="false" ht="15.75" hidden="false" customHeight="true" outlineLevel="0" collapsed="false">
      <c r="B26" s="34" t="s">
        <v>72</v>
      </c>
      <c r="C26" s="36" t="n">
        <f aca="false">C25/C7</f>
        <v>0.257431994685868</v>
      </c>
      <c r="D26" s="36" t="n">
        <f aca="false">D25/D7</f>
        <v>0.25513531882088</v>
      </c>
      <c r="E26" s="36" t="n">
        <f aca="false">E25/E7</f>
        <v>0.219124150436359</v>
      </c>
      <c r="F26" s="36" t="n">
        <f aca="false">F25/F7</f>
        <v>-0.619614651714189</v>
      </c>
      <c r="G26" s="36" t="n">
        <f aca="false">G25/G7</f>
        <v>-0.621345051647254</v>
      </c>
      <c r="H26" s="36" t="n">
        <f aca="false">H25/H7</f>
        <v>-0.618672305875406</v>
      </c>
    </row>
    <row r="27" customFormat="false" ht="18" hidden="false" customHeight="true" outlineLevel="0" collapsed="false">
      <c r="B27" s="15" t="s">
        <v>73</v>
      </c>
      <c r="C27" s="15"/>
      <c r="D27" s="15"/>
      <c r="E27" s="15"/>
      <c r="F27" s="15"/>
      <c r="G27" s="15"/>
      <c r="H27" s="15"/>
    </row>
    <row r="28" customFormat="false" ht="16.5" hidden="false" customHeight="true" outlineLevel="0" collapsed="false">
      <c r="B28" s="16" t="s">
        <v>74</v>
      </c>
      <c r="C28" s="24" t="n">
        <v>16864</v>
      </c>
      <c r="D28" s="24" t="n">
        <v>16215</v>
      </c>
      <c r="E28" s="24" t="n">
        <v>15744</v>
      </c>
      <c r="F28" s="24" t="n">
        <v>14900</v>
      </c>
      <c r="G28" s="24" t="n">
        <v>14700</v>
      </c>
      <c r="H28" s="24" t="n">
        <v>14500</v>
      </c>
    </row>
    <row r="29" customFormat="false" ht="16.5" hidden="false" customHeight="true" outlineLevel="0" collapsed="false">
      <c r="B29" s="32" t="s">
        <v>75</v>
      </c>
      <c r="C29" s="39" t="n">
        <f aca="false">(C25/C28)</f>
        <v>5.58426233396584</v>
      </c>
      <c r="D29" s="39" t="n">
        <f aca="false">(D25/D28)</f>
        <v>6.204563675609</v>
      </c>
      <c r="E29" s="39" t="n">
        <f aca="false">(E25/E28)</f>
        <v>5.33454014227642</v>
      </c>
      <c r="F29" s="39" t="n">
        <f aca="false">(F25/F28)</f>
        <v>-16.9074541107383</v>
      </c>
      <c r="G29" s="39" t="n">
        <f aca="false">(G25/G28)</f>
        <v>-18.2749837517007</v>
      </c>
      <c r="H29" s="39" t="n">
        <f aca="false">(H25/H28)</f>
        <v>-19.6538111448276</v>
      </c>
    </row>
  </sheetData>
  <mergeCells count="7">
    <mergeCell ref="B1:H1"/>
    <mergeCell ref="B2:H2"/>
    <mergeCell ref="B4:H4"/>
    <mergeCell ref="B9:H9"/>
    <mergeCell ref="B15:H15"/>
    <mergeCell ref="B21:H21"/>
    <mergeCell ref="B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8" min="3" style="0" width="14"/>
  </cols>
  <sheetData>
    <row r="1" customFormat="false" ht="30" hidden="false" customHeight="true" outlineLevel="0" collapsed="false">
      <c r="B1" s="11" t="s">
        <v>76</v>
      </c>
      <c r="C1" s="11"/>
      <c r="D1" s="11"/>
      <c r="E1" s="11"/>
      <c r="F1" s="11"/>
      <c r="G1" s="11"/>
      <c r="H1" s="11"/>
    </row>
    <row r="2" customFormat="false" ht="15" hidden="false" customHeight="false" outlineLevel="0" collapsed="false">
      <c r="B2" s="12" t="s">
        <v>21</v>
      </c>
      <c r="C2" s="12"/>
      <c r="D2" s="12"/>
      <c r="E2" s="12"/>
      <c r="F2" s="12"/>
      <c r="G2" s="12"/>
      <c r="H2" s="12"/>
    </row>
    <row r="3" customFormat="false" ht="19.5" hidden="false" customHeight="true" outlineLevel="0" collapsed="false">
      <c r="B3" s="27" t="s">
        <v>49</v>
      </c>
      <c r="C3" s="28" t="s">
        <v>23</v>
      </c>
      <c r="D3" s="28" t="s">
        <v>24</v>
      </c>
      <c r="E3" s="28" t="s">
        <v>25</v>
      </c>
      <c r="F3" s="29" t="s">
        <v>26</v>
      </c>
      <c r="G3" s="29" t="s">
        <v>27</v>
      </c>
      <c r="H3" s="29" t="s">
        <v>28</v>
      </c>
    </row>
    <row r="4" customFormat="false" ht="18" hidden="false" customHeight="true" outlineLevel="0" collapsed="false">
      <c r="B4" s="15" t="s">
        <v>77</v>
      </c>
      <c r="C4" s="15"/>
      <c r="D4" s="15"/>
      <c r="E4" s="15"/>
      <c r="F4" s="15"/>
      <c r="G4" s="15"/>
      <c r="H4" s="15"/>
    </row>
    <row r="5" customFormat="false" ht="16.5" hidden="false" customHeight="true" outlineLevel="0" collapsed="false">
      <c r="B5" s="16" t="s">
        <v>78</v>
      </c>
      <c r="C5" s="17" t="n">
        <v>34940</v>
      </c>
      <c r="D5" s="17" t="n">
        <v>23646</v>
      </c>
      <c r="E5" s="17" t="n">
        <v>29965</v>
      </c>
      <c r="F5" s="30" t="n">
        <f aca="false">'Cash Flow'!F42</f>
        <v>0</v>
      </c>
      <c r="G5" s="30" t="n">
        <f aca="false">'Cash Flow'!G42</f>
        <v>0</v>
      </c>
      <c r="H5" s="30" t="n">
        <f aca="false">'Cash Flow'!H42</f>
        <v>0</v>
      </c>
    </row>
    <row r="6" customFormat="false" ht="16.5" hidden="false" customHeight="true" outlineLevel="0" collapsed="false">
      <c r="B6" s="18" t="s">
        <v>79</v>
      </c>
      <c r="C6" s="19" t="n">
        <v>27699</v>
      </c>
      <c r="D6" s="19" t="n">
        <v>24658</v>
      </c>
      <c r="E6" s="19" t="n">
        <v>31590</v>
      </c>
      <c r="F6" s="19" t="n">
        <v>30000</v>
      </c>
      <c r="G6" s="19" t="n">
        <v>30000</v>
      </c>
      <c r="H6" s="19" t="n">
        <v>30000</v>
      </c>
    </row>
    <row r="7" customFormat="false" ht="16.5" hidden="false" customHeight="true" outlineLevel="0" collapsed="false">
      <c r="B7" s="16" t="s">
        <v>80</v>
      </c>
      <c r="C7" s="17" t="n">
        <v>26278</v>
      </c>
      <c r="D7" s="17" t="n">
        <v>28184</v>
      </c>
      <c r="E7" s="17" t="n">
        <v>29508</v>
      </c>
      <c r="F7" s="37" t="n">
        <f aca="false">'Income Statement'!F7*Assumptions!F15/365</f>
        <v>30075.5589041096</v>
      </c>
      <c r="G7" s="37" t="n">
        <f aca="false">'Income Statement'!G7*Assumptions!G15/365</f>
        <v>31982.498630137</v>
      </c>
      <c r="H7" s="37" t="n">
        <f aca="false">'Income Statement'!H7*Assumptions!H15/365</f>
        <v>34074.1479452055</v>
      </c>
    </row>
    <row r="8" customFormat="false" ht="16.5" hidden="false" customHeight="true" outlineLevel="0" collapsed="false">
      <c r="B8" s="18" t="s">
        <v>81</v>
      </c>
      <c r="C8" s="19" t="n">
        <v>6580</v>
      </c>
      <c r="D8" s="19" t="n">
        <v>4946</v>
      </c>
      <c r="E8" s="19" t="n">
        <v>6331</v>
      </c>
      <c r="F8" s="38" t="n">
        <f aca="false">'Income Statement'!F12*Assumptions!F16/365</f>
        <v>7114.96243835616</v>
      </c>
      <c r="G8" s="38" t="n">
        <f aca="false">'Income Statement'!G12*Assumptions!G16/365</f>
        <v>7509.07020547945</v>
      </c>
      <c r="H8" s="38" t="n">
        <f aca="false">'Income Statement'!H12*Assumptions!H16/365</f>
        <v>7937.80054794521</v>
      </c>
    </row>
    <row r="9" customFormat="false" ht="16.5" hidden="false" customHeight="true" outlineLevel="0" collapsed="false">
      <c r="B9" s="16" t="s">
        <v>82</v>
      </c>
      <c r="C9" s="17" t="n">
        <v>21223</v>
      </c>
      <c r="D9" s="17" t="n">
        <v>21223</v>
      </c>
      <c r="E9" s="17" t="n">
        <v>14695</v>
      </c>
      <c r="F9" s="17" t="n">
        <v>15000</v>
      </c>
      <c r="G9" s="17" t="n">
        <v>15000</v>
      </c>
      <c r="H9" s="17" t="n">
        <v>15000</v>
      </c>
    </row>
    <row r="10" customFormat="false" ht="16.5" hidden="false" customHeight="true" outlineLevel="0" collapsed="false">
      <c r="B10" s="32" t="s">
        <v>83</v>
      </c>
      <c r="C10" s="33" t="n">
        <f aca="false">C5+C6+C7+C8+C9</f>
        <v>116720</v>
      </c>
      <c r="D10" s="33" t="n">
        <f aca="false">D5+D6+D7+D8+D9</f>
        <v>102657</v>
      </c>
      <c r="E10" s="33" t="n">
        <f aca="false">E5+E6+E7+E8+E9</f>
        <v>112089</v>
      </c>
      <c r="F10" s="33" t="n">
        <f aca="false">F5+F6+F7+F8+F9</f>
        <v>82190.5213424658</v>
      </c>
      <c r="G10" s="33" t="n">
        <f aca="false">G5+G6+G7+G8+G9</f>
        <v>84491.5688356164</v>
      </c>
      <c r="H10" s="33" t="n">
        <f aca="false">H5+H6+H7+H8+H9</f>
        <v>87011.9484931507</v>
      </c>
    </row>
    <row r="11" customFormat="false" ht="18" hidden="false" customHeight="true" outlineLevel="0" collapsed="false">
      <c r="B11" s="15" t="s">
        <v>84</v>
      </c>
      <c r="C11" s="15"/>
      <c r="D11" s="15"/>
      <c r="E11" s="15"/>
      <c r="F11" s="15"/>
      <c r="G11" s="15"/>
      <c r="H11" s="15"/>
    </row>
    <row r="12" customFormat="false" ht="16.5" hidden="false" customHeight="true" outlineLevel="0" collapsed="false">
      <c r="B12" s="16" t="s">
        <v>85</v>
      </c>
      <c r="C12" s="17" t="n">
        <v>134106</v>
      </c>
      <c r="D12" s="17" t="n">
        <v>120805</v>
      </c>
      <c r="E12" s="17" t="n">
        <v>100544</v>
      </c>
      <c r="F12" s="17" t="n">
        <v>90000</v>
      </c>
      <c r="G12" s="17" t="n">
        <v>90000</v>
      </c>
      <c r="H12" s="17" t="n">
        <v>90000</v>
      </c>
    </row>
    <row r="13" customFormat="false" ht="16.5" hidden="false" customHeight="true" outlineLevel="0" collapsed="false">
      <c r="B13" s="18" t="s">
        <v>86</v>
      </c>
      <c r="C13" s="19" t="n">
        <v>39440</v>
      </c>
      <c r="D13" s="19" t="n">
        <v>42117</v>
      </c>
      <c r="E13" s="19" t="n">
        <v>43715</v>
      </c>
      <c r="F13" s="38" t="n">
        <f aca="false">E13+'Income Statement'!F7*Assumptions!F18-'Income Statement'!F7*Assumptions!F19</f>
        <v>42901.846</v>
      </c>
      <c r="G13" s="38" t="n">
        <f aca="false">F13+'Income Statement'!G7*Assumptions!G18-'Income Statement'!G7*Assumptions!G19</f>
        <v>42037.134</v>
      </c>
      <c r="H13" s="38" t="n">
        <f aca="false">G13+'Income Statement'!H7*Assumptions!H18-'Income Statement'!H7*Assumptions!H19</f>
        <v>41115.87</v>
      </c>
    </row>
    <row r="14" customFormat="false" ht="16.5" hidden="false" customHeight="true" outlineLevel="0" collapsed="false">
      <c r="B14" s="16" t="s">
        <v>87</v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</row>
    <row r="15" customFormat="false" ht="16.5" hidden="false" customHeight="true" outlineLevel="0" collapsed="false">
      <c r="B15" s="18" t="s">
        <v>88</v>
      </c>
      <c r="C15" s="19" t="n">
        <v>56795</v>
      </c>
      <c r="D15" s="19" t="n">
        <v>54428</v>
      </c>
      <c r="E15" s="19" t="n">
        <v>64758</v>
      </c>
      <c r="F15" s="19" t="n">
        <v>65000</v>
      </c>
      <c r="G15" s="19" t="n">
        <v>65000</v>
      </c>
      <c r="H15" s="19" t="n">
        <v>65000</v>
      </c>
    </row>
    <row r="16" customFormat="false" ht="16.5" hidden="false" customHeight="true" outlineLevel="0" collapsed="false">
      <c r="B16" s="32" t="s">
        <v>89</v>
      </c>
      <c r="C16" s="33" t="n">
        <f aca="false">C12+C13+C14+C15</f>
        <v>230341</v>
      </c>
      <c r="D16" s="33" t="n">
        <f aca="false">D12+D13+D14+D15</f>
        <v>217350</v>
      </c>
      <c r="E16" s="33" t="n">
        <f aca="false">E12+E13+E14+E15</f>
        <v>209017</v>
      </c>
      <c r="F16" s="33" t="n">
        <f aca="false">F12+F13+F14+F15</f>
        <v>197901.846</v>
      </c>
      <c r="G16" s="33" t="n">
        <f aca="false">G12+G13+G14+G15</f>
        <v>197037.134</v>
      </c>
      <c r="H16" s="33" t="n">
        <f aca="false">H12+H13+H14+H15</f>
        <v>196115.87</v>
      </c>
    </row>
    <row r="17" customFormat="false" ht="18" hidden="false" customHeight="true" outlineLevel="0" collapsed="false">
      <c r="B17" s="40" t="s">
        <v>90</v>
      </c>
      <c r="C17" s="41" t="n">
        <f aca="false">C10+C16</f>
        <v>347061</v>
      </c>
      <c r="D17" s="41" t="n">
        <f aca="false">D10+D16</f>
        <v>320007</v>
      </c>
      <c r="E17" s="41" t="n">
        <f aca="false">E10+E16</f>
        <v>321106</v>
      </c>
      <c r="F17" s="41" t="n">
        <f aca="false">F10+F16</f>
        <v>280092.367342466</v>
      </c>
      <c r="G17" s="41" t="n">
        <f aca="false">G10+G16</f>
        <v>281528.702835616</v>
      </c>
      <c r="H17" s="41" t="n">
        <f aca="false">H10+H16</f>
        <v>283127.818493151</v>
      </c>
    </row>
    <row r="18" customFormat="false" ht="18" hidden="false" customHeight="true" outlineLevel="0" collapsed="false">
      <c r="B18" s="15" t="s">
        <v>91</v>
      </c>
      <c r="C18" s="15"/>
      <c r="D18" s="15"/>
      <c r="E18" s="15"/>
      <c r="F18" s="15"/>
      <c r="G18" s="15"/>
      <c r="H18" s="15"/>
    </row>
    <row r="19" customFormat="false" ht="16.5" hidden="false" customHeight="true" outlineLevel="0" collapsed="false">
      <c r="B19" s="16" t="s">
        <v>92</v>
      </c>
      <c r="C19" s="17" t="n">
        <v>54763</v>
      </c>
      <c r="D19" s="17" t="n">
        <v>64115</v>
      </c>
      <c r="E19" s="17" t="n">
        <v>62611</v>
      </c>
      <c r="F19" s="37" t="n">
        <f aca="false">'Income Statement'!F12*Assumptions!F17/365</f>
        <v>106724.436575342</v>
      </c>
      <c r="G19" s="37" t="n">
        <f aca="false">'Income Statement'!G12*Assumptions!G17/365</f>
        <v>112636.053082192</v>
      </c>
      <c r="H19" s="37" t="n">
        <f aca="false">'Income Statement'!H12*Assumptions!H17/365</f>
        <v>119067.008219178</v>
      </c>
    </row>
    <row r="20" customFormat="false" ht="16.5" hidden="false" customHeight="true" outlineLevel="0" collapsed="false">
      <c r="B20" s="18" t="s">
        <v>93</v>
      </c>
      <c r="C20" s="19" t="n">
        <v>11169</v>
      </c>
      <c r="D20" s="19" t="n">
        <v>21110</v>
      </c>
      <c r="E20" s="19" t="n">
        <v>9822</v>
      </c>
      <c r="F20" s="19" t="n">
        <v>10000</v>
      </c>
      <c r="G20" s="19" t="n">
        <v>10000</v>
      </c>
      <c r="H20" s="19" t="n">
        <v>10000</v>
      </c>
    </row>
    <row r="21" customFormat="false" ht="16.5" hidden="false" customHeight="true" outlineLevel="0" collapsed="false">
      <c r="B21" s="16" t="s">
        <v>94</v>
      </c>
      <c r="C21" s="17" t="n">
        <v>7612</v>
      </c>
      <c r="D21" s="17" t="n">
        <v>7912</v>
      </c>
      <c r="E21" s="17" t="n">
        <v>8061</v>
      </c>
      <c r="F21" s="17" t="n">
        <v>8500</v>
      </c>
      <c r="G21" s="17" t="n">
        <v>8500</v>
      </c>
      <c r="H21" s="17" t="n">
        <v>8500</v>
      </c>
    </row>
    <row r="22" customFormat="false" ht="16.5" hidden="false" customHeight="true" outlineLevel="0" collapsed="false">
      <c r="B22" s="18" t="s">
        <v>95</v>
      </c>
      <c r="C22" s="19" t="n">
        <v>47493</v>
      </c>
      <c r="D22" s="19" t="n">
        <v>60845</v>
      </c>
      <c r="E22" s="19" t="n">
        <v>58829</v>
      </c>
      <c r="F22" s="19" t="n">
        <v>60000</v>
      </c>
      <c r="G22" s="19" t="n">
        <v>60000</v>
      </c>
      <c r="H22" s="19" t="n">
        <v>60000</v>
      </c>
    </row>
    <row r="23" customFormat="false" ht="16.5" hidden="false" customHeight="true" outlineLevel="0" collapsed="false">
      <c r="B23" s="32" t="s">
        <v>96</v>
      </c>
      <c r="C23" s="33" t="n">
        <f aca="false">C19+C20+C21+C22</f>
        <v>121037</v>
      </c>
      <c r="D23" s="33" t="n">
        <f aca="false">D19+D20+D21+D22</f>
        <v>153982</v>
      </c>
      <c r="E23" s="33" t="n">
        <f aca="false">E19+E20+E21+E22</f>
        <v>139323</v>
      </c>
      <c r="F23" s="33" t="n">
        <f aca="false">F19+F20+F21+F22</f>
        <v>185224.436575342</v>
      </c>
      <c r="G23" s="33" t="n">
        <f aca="false">G19+G20+G21+G22</f>
        <v>191136.053082192</v>
      </c>
      <c r="H23" s="33" t="n">
        <f aca="false">H19+H20+H21+H22</f>
        <v>197567.008219178</v>
      </c>
    </row>
    <row r="24" customFormat="false" ht="18" hidden="false" customHeight="true" outlineLevel="0" collapsed="false">
      <c r="B24" s="15" t="s">
        <v>97</v>
      </c>
      <c r="C24" s="15"/>
      <c r="D24" s="15"/>
      <c r="E24" s="15"/>
      <c r="F24" s="15"/>
      <c r="G24" s="15"/>
      <c r="H24" s="15"/>
    </row>
    <row r="25" customFormat="false" ht="16.5" hidden="false" customHeight="true" outlineLevel="0" collapsed="false">
      <c r="B25" s="16" t="s">
        <v>98</v>
      </c>
      <c r="C25" s="17" t="n">
        <v>109106</v>
      </c>
      <c r="D25" s="17" t="n">
        <v>98959</v>
      </c>
      <c r="E25" s="17" t="n">
        <v>95281</v>
      </c>
      <c r="F25" s="17" t="n">
        <v>90000</v>
      </c>
      <c r="G25" s="17" t="n">
        <v>90000</v>
      </c>
      <c r="H25" s="17" t="n">
        <v>90000</v>
      </c>
    </row>
    <row r="26" customFormat="false" ht="16.5" hidden="false" customHeight="true" outlineLevel="0" collapsed="false">
      <c r="B26" s="18" t="s">
        <v>99</v>
      </c>
      <c r="C26" s="19" t="n">
        <v>53288</v>
      </c>
      <c r="D26" s="19" t="n">
        <v>49142</v>
      </c>
      <c r="E26" s="19" t="n">
        <v>49848</v>
      </c>
      <c r="F26" s="19" t="n">
        <v>50000</v>
      </c>
      <c r="G26" s="19" t="n">
        <v>50000</v>
      </c>
      <c r="H26" s="19" t="n">
        <v>50000</v>
      </c>
    </row>
    <row r="27" customFormat="false" ht="16.5" hidden="false" customHeight="true" outlineLevel="0" collapsed="false">
      <c r="B27" s="32" t="s">
        <v>100</v>
      </c>
      <c r="C27" s="33" t="n">
        <f aca="false">C25+C26</f>
        <v>162394</v>
      </c>
      <c r="D27" s="33" t="n">
        <f aca="false">D25+D26</f>
        <v>148101</v>
      </c>
      <c r="E27" s="33" t="n">
        <f aca="false">E25+E26</f>
        <v>145129</v>
      </c>
      <c r="F27" s="33" t="n">
        <f aca="false">F25+F26</f>
        <v>140000</v>
      </c>
      <c r="G27" s="33" t="n">
        <f aca="false">G25+G26</f>
        <v>140000</v>
      </c>
      <c r="H27" s="33" t="n">
        <f aca="false">H25+H26</f>
        <v>140000</v>
      </c>
    </row>
    <row r="28" customFormat="false" ht="18" hidden="false" customHeight="true" outlineLevel="0" collapsed="false">
      <c r="B28" s="40" t="s">
        <v>101</v>
      </c>
      <c r="C28" s="41" t="n">
        <f aca="false">C23+C27</f>
        <v>283431</v>
      </c>
      <c r="D28" s="41" t="n">
        <f aca="false">D23+D27</f>
        <v>302083</v>
      </c>
      <c r="E28" s="41" t="n">
        <f aca="false">E23+E27</f>
        <v>284452</v>
      </c>
      <c r="F28" s="41" t="n">
        <f aca="false">F23+F27</f>
        <v>325224.436575342</v>
      </c>
      <c r="G28" s="41" t="n">
        <f aca="false">G23+G27</f>
        <v>331136.053082192</v>
      </c>
      <c r="H28" s="41" t="n">
        <f aca="false">H23+H27</f>
        <v>337567.008219178</v>
      </c>
    </row>
    <row r="29" customFormat="false" ht="18" hidden="false" customHeight="true" outlineLevel="0" collapsed="false">
      <c r="B29" s="15" t="s">
        <v>102</v>
      </c>
      <c r="C29" s="15"/>
      <c r="D29" s="15"/>
      <c r="E29" s="15"/>
      <c r="F29" s="15"/>
      <c r="G29" s="15"/>
      <c r="H29" s="15"/>
    </row>
    <row r="30" customFormat="false" ht="16.5" hidden="false" customHeight="true" outlineLevel="0" collapsed="false">
      <c r="B30" s="16" t="s">
        <v>103</v>
      </c>
      <c r="C30" s="17" t="n">
        <v>57365</v>
      </c>
      <c r="D30" s="17" t="n">
        <v>64849</v>
      </c>
      <c r="E30" s="17" t="n">
        <v>73812</v>
      </c>
      <c r="F30" s="17" t="n">
        <v>80000</v>
      </c>
      <c r="G30" s="17" t="n">
        <v>80000</v>
      </c>
      <c r="H30" s="17" t="n">
        <v>80000</v>
      </c>
    </row>
    <row r="31" customFormat="false" ht="16.5" hidden="false" customHeight="true" outlineLevel="0" collapsed="false">
      <c r="B31" s="18" t="s">
        <v>104</v>
      </c>
      <c r="C31" s="19" t="n">
        <v>5562</v>
      </c>
      <c r="D31" s="19" t="n">
        <v>-3068</v>
      </c>
      <c r="E31" s="19" t="n">
        <v>-214</v>
      </c>
      <c r="F31" s="38" t="n">
        <f aca="false">E31+'Income Statement'!F25-'Cash Flow'!F22</f>
        <v>-247135.06625</v>
      </c>
      <c r="G31" s="38" t="n">
        <f aca="false">F31+'Income Statement'!G25-'Cash Flow'!G22</f>
        <v>-510777.3274</v>
      </c>
      <c r="H31" s="38" t="n">
        <f aca="false">G31+'Income Statement'!H25-'Cash Flow'!H22</f>
        <v>-790757.589</v>
      </c>
    </row>
    <row r="32" customFormat="false" ht="16.5" hidden="false" customHeight="true" outlineLevel="0" collapsed="false">
      <c r="B32" s="16" t="s">
        <v>105</v>
      </c>
      <c r="C32" s="17" t="n">
        <v>-1391</v>
      </c>
      <c r="D32" s="17" t="n">
        <v>-11109</v>
      </c>
      <c r="E32" s="17" t="n">
        <v>-11452</v>
      </c>
      <c r="F32" s="17" t="n">
        <v>-10000</v>
      </c>
      <c r="G32" s="17" t="n">
        <v>-10000</v>
      </c>
      <c r="H32" s="17" t="n">
        <v>-10000</v>
      </c>
    </row>
    <row r="33" customFormat="false" ht="16.5" hidden="false" customHeight="true" outlineLevel="0" collapsed="false">
      <c r="B33" s="32" t="s">
        <v>106</v>
      </c>
      <c r="C33" s="33" t="n">
        <f aca="false">C30+C31+C32</f>
        <v>61536</v>
      </c>
      <c r="D33" s="33" t="n">
        <f aca="false">D30+D31+D32</f>
        <v>50672</v>
      </c>
      <c r="E33" s="33" t="n">
        <f aca="false">E30+E31+E32</f>
        <v>62146</v>
      </c>
      <c r="F33" s="33" t="n">
        <f aca="false">F30+F31+F32</f>
        <v>-177135.06625</v>
      </c>
      <c r="G33" s="33" t="n">
        <f aca="false">G30+G31+G32</f>
        <v>-440777.3274</v>
      </c>
      <c r="H33" s="33" t="n">
        <f aca="false">H30+H31+H32</f>
        <v>-720757.589</v>
      </c>
    </row>
    <row r="34" customFormat="false" ht="18" hidden="false" customHeight="true" outlineLevel="0" collapsed="false">
      <c r="B34" s="40" t="s">
        <v>107</v>
      </c>
      <c r="C34" s="41" t="n">
        <f aca="false">C28+C33</f>
        <v>344967</v>
      </c>
      <c r="D34" s="41" t="n">
        <f aca="false">D28+D33</f>
        <v>352755</v>
      </c>
      <c r="E34" s="41" t="n">
        <f aca="false">E28+E33</f>
        <v>346598</v>
      </c>
      <c r="F34" s="41" t="n">
        <f aca="false">F28+F33</f>
        <v>148089.370325342</v>
      </c>
      <c r="G34" s="41" t="n">
        <f aca="false">G28+G33</f>
        <v>-109641.274317808</v>
      </c>
      <c r="H34" s="41" t="n">
        <f aca="false">H28+H33</f>
        <v>-383190.580780822</v>
      </c>
    </row>
    <row r="36" customFormat="false" ht="18" hidden="false" customHeight="true" outlineLevel="0" collapsed="false">
      <c r="B36" s="32" t="s">
        <v>108</v>
      </c>
      <c r="C36" s="42" t="str">
        <f aca="false">IF(ABS(C17-C34)&lt;1,"✓ BALANCED","✗ ERROR")</f>
        <v>✗ ERROR</v>
      </c>
      <c r="D36" s="42" t="str">
        <f aca="false">IF(ABS(D17-D34)&lt;1,"✓ BALANCED","✗ ERROR")</f>
        <v>✗ ERROR</v>
      </c>
      <c r="E36" s="42" t="str">
        <f aca="false">IF(ABS(E17-E34)&lt;1,"✓ BALANCED","✗ ERROR")</f>
        <v>✗ ERROR</v>
      </c>
      <c r="F36" s="42" t="str">
        <f aca="false">IF(ABS(F17-F34)&lt;1,"✓ BALANCED","✗ ERROR")</f>
        <v>✗ ERROR</v>
      </c>
      <c r="G36" s="42" t="str">
        <f aca="false">IF(ABS(G17-G34)&lt;1,"✓ BALANCED","✗ ERROR")</f>
        <v>✗ ERROR</v>
      </c>
      <c r="H36" s="42" t="str">
        <f aca="false">IF(ABS(H17-H34)&lt;1,"✓ BALANCED","✗ ERROR")</f>
        <v>✗ ERROR</v>
      </c>
    </row>
  </sheetData>
  <mergeCells count="7">
    <mergeCell ref="B1:H1"/>
    <mergeCell ref="B2:H2"/>
    <mergeCell ref="B4:H4"/>
    <mergeCell ref="B11:H11"/>
    <mergeCell ref="B18:H18"/>
    <mergeCell ref="B24:H24"/>
    <mergeCell ref="B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8" min="3" style="0" width="14"/>
  </cols>
  <sheetData>
    <row r="1" customFormat="false" ht="30" hidden="false" customHeight="true" outlineLevel="0" collapsed="false">
      <c r="B1" s="11" t="s">
        <v>109</v>
      </c>
      <c r="C1" s="11"/>
      <c r="D1" s="11"/>
      <c r="E1" s="11"/>
      <c r="F1" s="11"/>
      <c r="G1" s="11"/>
      <c r="H1" s="11"/>
    </row>
    <row r="2" customFormat="false" ht="15" hidden="false" customHeight="false" outlineLevel="0" collapsed="false">
      <c r="B2" s="12" t="s">
        <v>21</v>
      </c>
      <c r="C2" s="12"/>
      <c r="D2" s="12"/>
      <c r="E2" s="12"/>
      <c r="F2" s="12"/>
      <c r="G2" s="12"/>
      <c r="H2" s="12"/>
    </row>
    <row r="3" customFormat="false" ht="19.5" hidden="false" customHeight="true" outlineLevel="0" collapsed="false">
      <c r="B3" s="27" t="s">
        <v>49</v>
      </c>
      <c r="C3" s="28" t="s">
        <v>23</v>
      </c>
      <c r="D3" s="28" t="s">
        <v>24</v>
      </c>
      <c r="E3" s="28" t="s">
        <v>25</v>
      </c>
      <c r="F3" s="29" t="s">
        <v>26</v>
      </c>
      <c r="G3" s="29" t="s">
        <v>27</v>
      </c>
      <c r="H3" s="29" t="s">
        <v>28</v>
      </c>
    </row>
    <row r="4" customFormat="false" ht="18" hidden="false" customHeight="true" outlineLevel="0" collapsed="false">
      <c r="B4" s="15" t="s">
        <v>110</v>
      </c>
      <c r="C4" s="15"/>
      <c r="D4" s="15"/>
      <c r="E4" s="15"/>
      <c r="F4" s="15"/>
      <c r="G4" s="15"/>
      <c r="H4" s="15"/>
    </row>
    <row r="5" customFormat="false" ht="16.5" hidden="false" customHeight="true" outlineLevel="0" collapsed="false">
      <c r="B5" s="16" t="s">
        <v>111</v>
      </c>
      <c r="C5" s="30" t="n">
        <f aca="false">'Income Statement'!C25</f>
        <v>94173</v>
      </c>
      <c r="D5" s="30" t="n">
        <f aca="false">'Income Statement'!D25</f>
        <v>100607</v>
      </c>
      <c r="E5" s="30" t="n">
        <f aca="false">'Income Statement'!E25</f>
        <v>83987</v>
      </c>
      <c r="F5" s="30" t="n">
        <f aca="false">'Income Statement'!F25</f>
        <v>-251921.06625</v>
      </c>
      <c r="G5" s="30" t="n">
        <f aca="false">'Income Statement'!G25</f>
        <v>-268642.26115</v>
      </c>
      <c r="H5" s="30" t="n">
        <f aca="false">'Income Statement'!H25</f>
        <v>-284980.2616</v>
      </c>
    </row>
    <row r="6" customFormat="false" ht="16.5" hidden="false" customHeight="true" outlineLevel="0" collapsed="false">
      <c r="B6" s="43" t="s">
        <v>112</v>
      </c>
      <c r="C6" s="19" t="n">
        <v>11284</v>
      </c>
      <c r="D6" s="19" t="n">
        <v>11104</v>
      </c>
      <c r="E6" s="19" t="n">
        <v>11519</v>
      </c>
      <c r="F6" s="38" t="n">
        <f aca="false">'Income Statement'!F7*Assumptions!F19</f>
        <v>12197.31</v>
      </c>
      <c r="G6" s="38" t="n">
        <f aca="false">'Income Statement'!G7*Assumptions!G19</f>
        <v>12970.68</v>
      </c>
      <c r="H6" s="38" t="n">
        <f aca="false">'Income Statement'!H7*Assumptions!H19</f>
        <v>13358.328</v>
      </c>
    </row>
    <row r="7" customFormat="false" ht="16.5" hidden="false" customHeight="true" outlineLevel="0" collapsed="false">
      <c r="B7" s="44" t="s">
        <v>113</v>
      </c>
      <c r="C7" s="17" t="n">
        <v>7906</v>
      </c>
      <c r="D7" s="17" t="n">
        <v>9038</v>
      </c>
      <c r="E7" s="17" t="n">
        <v>10833</v>
      </c>
      <c r="F7" s="17" t="n">
        <v>11000</v>
      </c>
      <c r="G7" s="17" t="n">
        <v>11000</v>
      </c>
      <c r="H7" s="17" t="n">
        <v>11000</v>
      </c>
    </row>
    <row r="8" customFormat="false" ht="15.75" hidden="false" customHeight="true" outlineLevel="0" collapsed="false">
      <c r="B8" s="45" t="s">
        <v>114</v>
      </c>
    </row>
    <row r="9" customFormat="false" ht="16.5" hidden="false" customHeight="true" outlineLevel="0" collapsed="false">
      <c r="B9" s="44" t="s">
        <v>115</v>
      </c>
      <c r="C9" s="17" t="n">
        <v>-10125</v>
      </c>
      <c r="D9" s="17" t="n">
        <v>-1905</v>
      </c>
      <c r="E9" s="17" t="n">
        <v>-1324</v>
      </c>
      <c r="F9" s="37" t="n">
        <f aca="false">-('Balance Sheet'!F7--1324)</f>
        <v>-31399.5589041096</v>
      </c>
      <c r="G9" s="37" t="n">
        <f aca="false">-('Balance Sheet'!G7-'Balance Sheet'!F7)</f>
        <v>-1906.9397260274</v>
      </c>
      <c r="H9" s="37" t="n">
        <f aca="false">-('Balance Sheet'!H7-'Balance Sheet'!G7)</f>
        <v>-2091.64931506849</v>
      </c>
    </row>
    <row r="10" customFormat="false" ht="16.5" hidden="false" customHeight="true" outlineLevel="0" collapsed="false">
      <c r="B10" s="43" t="s">
        <v>116</v>
      </c>
      <c r="C10" s="19" t="n">
        <v>-1484</v>
      </c>
      <c r="D10" s="19" t="n">
        <v>1637</v>
      </c>
      <c r="E10" s="19" t="n">
        <v>-1399</v>
      </c>
      <c r="F10" s="38" t="n">
        <f aca="false">-('Balance Sheet'!F8--2798)</f>
        <v>-9912.96243835616</v>
      </c>
      <c r="G10" s="38" t="n">
        <f aca="false">-('Balance Sheet'!G8-'Balance Sheet'!F8)</f>
        <v>-394.107767123288</v>
      </c>
      <c r="H10" s="38" t="n">
        <f aca="false">-('Balance Sheet'!H8-'Balance Sheet'!G8)</f>
        <v>-428.730342465753</v>
      </c>
    </row>
    <row r="11" customFormat="false" ht="16.5" hidden="false" customHeight="true" outlineLevel="0" collapsed="false">
      <c r="B11" s="44" t="s">
        <v>117</v>
      </c>
      <c r="C11" s="17" t="n">
        <v>12326</v>
      </c>
      <c r="D11" s="17" t="n">
        <v>9448</v>
      </c>
      <c r="E11" s="17" t="n">
        <v>-1889</v>
      </c>
      <c r="F11" s="37" t="n">
        <f aca="false">'Balance Sheet'!F19-62611</f>
        <v>44113.4365753425</v>
      </c>
      <c r="G11" s="37" t="n">
        <f aca="false">'Balance Sheet'!G19-'Balance Sheet'!F19</f>
        <v>5911.61650684933</v>
      </c>
      <c r="H11" s="37" t="n">
        <f aca="false">'Balance Sheet'!H19-'Balance Sheet'!G19</f>
        <v>6430.9551369863</v>
      </c>
    </row>
    <row r="12" customFormat="false" ht="16.5" hidden="false" customHeight="true" outlineLevel="0" collapsed="false">
      <c r="B12" s="43" t="s">
        <v>118</v>
      </c>
      <c r="C12" s="19" t="n">
        <v>5822</v>
      </c>
      <c r="D12" s="19" t="n">
        <v>5632</v>
      </c>
      <c r="E12" s="19" t="n">
        <v>-6099</v>
      </c>
      <c r="F12" s="19" t="n">
        <v>-5000</v>
      </c>
      <c r="G12" s="19" t="n">
        <v>-5000</v>
      </c>
      <c r="H12" s="19" t="n">
        <v>-5000</v>
      </c>
    </row>
    <row r="13" customFormat="false" ht="18" hidden="false" customHeight="true" outlineLevel="0" collapsed="false">
      <c r="B13" s="32" t="s">
        <v>119</v>
      </c>
      <c r="C13" s="33" t="n">
        <f aca="false">C5+C6+C7+C9+C10+C11+C12</f>
        <v>119902</v>
      </c>
      <c r="D13" s="33" t="n">
        <f aca="false">D5+D6+D7+D9+D10+D11+D12</f>
        <v>135561</v>
      </c>
      <c r="E13" s="33" t="n">
        <f aca="false">E5+E6+E7+E9+E10+E11+E12</f>
        <v>95628</v>
      </c>
      <c r="F13" s="33" t="n">
        <f aca="false">F5+F6+F7+F9+F10+F11+F12</f>
        <v>-230922.841017123</v>
      </c>
      <c r="G13" s="33" t="n">
        <f aca="false">G5+G6+G7+G9+G10+G11+G12</f>
        <v>-246061.012136301</v>
      </c>
      <c r="H13" s="33" t="n">
        <f aca="false">H5+H6+H7+H9+H10+H11+H12</f>
        <v>-261711.358120548</v>
      </c>
    </row>
    <row r="14" customFormat="false" ht="18" hidden="false" customHeight="true" outlineLevel="0" collapsed="false">
      <c r="B14" s="15" t="s">
        <v>120</v>
      </c>
      <c r="C14" s="15"/>
      <c r="D14" s="15"/>
      <c r="E14" s="15"/>
      <c r="F14" s="15"/>
      <c r="G14" s="15"/>
      <c r="H14" s="15"/>
    </row>
    <row r="15" customFormat="false" ht="16.5" hidden="false" customHeight="true" outlineLevel="0" collapsed="false">
      <c r="B15" s="16" t="s">
        <v>121</v>
      </c>
      <c r="C15" s="17" t="n">
        <v>-11085</v>
      </c>
      <c r="D15" s="17" t="n">
        <v>-10708</v>
      </c>
      <c r="E15" s="17" t="n">
        <v>-10959</v>
      </c>
      <c r="F15" s="37" t="n">
        <f aca="false">-'Income Statement'!F7*Assumptions!F18</f>
        <v>-11384.156</v>
      </c>
      <c r="G15" s="37" t="n">
        <f aca="false">-'Income Statement'!G7*Assumptions!G18</f>
        <v>-12105.968</v>
      </c>
      <c r="H15" s="37" t="n">
        <f aca="false">-'Income Statement'!H7*Assumptions!H18</f>
        <v>-12437.064</v>
      </c>
    </row>
    <row r="16" customFormat="false" ht="16.5" hidden="false" customHeight="true" outlineLevel="0" collapsed="false">
      <c r="B16" s="18" t="s">
        <v>122</v>
      </c>
      <c r="C16" s="19" t="n">
        <v>-67460</v>
      </c>
      <c r="D16" s="19" t="n">
        <v>9805</v>
      </c>
      <c r="E16" s="19" t="n">
        <v>5228</v>
      </c>
      <c r="F16" s="19" t="n">
        <v>5000</v>
      </c>
      <c r="G16" s="19" t="n">
        <v>5000</v>
      </c>
      <c r="H16" s="19" t="n">
        <v>5000</v>
      </c>
    </row>
    <row r="17" customFormat="false" ht="16.5" hidden="false" customHeight="true" outlineLevel="0" collapsed="false">
      <c r="B17" s="16" t="s">
        <v>123</v>
      </c>
      <c r="C17" s="17" t="n">
        <v>-336</v>
      </c>
      <c r="D17" s="17" t="n">
        <v>-1780</v>
      </c>
      <c r="E17" s="17" t="n">
        <v>-1337</v>
      </c>
      <c r="F17" s="17" t="n">
        <v>-1500</v>
      </c>
      <c r="G17" s="17" t="n">
        <v>-1500</v>
      </c>
      <c r="H17" s="17" t="n">
        <v>-1500</v>
      </c>
    </row>
    <row r="18" customFormat="false" ht="18" hidden="false" customHeight="true" outlineLevel="0" collapsed="false">
      <c r="B18" s="32" t="s">
        <v>124</v>
      </c>
      <c r="C18" s="33" t="n">
        <f aca="false">C15+C16+C17</f>
        <v>-78881</v>
      </c>
      <c r="D18" s="33" t="n">
        <f aca="false">D15+D16+D17</f>
        <v>-2683</v>
      </c>
      <c r="E18" s="33" t="n">
        <f aca="false">E15+E16+E17</f>
        <v>-7068</v>
      </c>
      <c r="F18" s="33" t="n">
        <f aca="false">F15+F16+F17</f>
        <v>-7884.156</v>
      </c>
      <c r="G18" s="33" t="n">
        <f aca="false">G15+G16+G17</f>
        <v>-8605.968</v>
      </c>
      <c r="H18" s="33" t="n">
        <f aca="false">H15+H16+H17</f>
        <v>-8937.064</v>
      </c>
    </row>
    <row r="19" customFormat="false" ht="18" hidden="false" customHeight="true" outlineLevel="0" collapsed="false">
      <c r="B19" s="15" t="s">
        <v>125</v>
      </c>
      <c r="C19" s="15"/>
      <c r="D19" s="15"/>
      <c r="E19" s="15"/>
      <c r="F19" s="15"/>
      <c r="G19" s="15"/>
      <c r="H19" s="15"/>
    </row>
    <row r="20" customFormat="false" ht="16.5" hidden="false" customHeight="true" outlineLevel="0" collapsed="false">
      <c r="B20" s="16" t="s">
        <v>126</v>
      </c>
      <c r="C20" s="17" t="n">
        <v>-14467</v>
      </c>
      <c r="D20" s="17" t="n">
        <v>-14841</v>
      </c>
      <c r="E20" s="17" t="n">
        <v>-15025</v>
      </c>
      <c r="F20" s="17" t="n">
        <v>-15500</v>
      </c>
      <c r="G20" s="17" t="n">
        <v>-15500</v>
      </c>
      <c r="H20" s="17" t="n">
        <v>-15500</v>
      </c>
    </row>
    <row r="21" customFormat="false" ht="16.5" hidden="false" customHeight="true" outlineLevel="0" collapsed="false">
      <c r="B21" s="18" t="s">
        <v>127</v>
      </c>
      <c r="C21" s="19" t="n">
        <v>-85971</v>
      </c>
      <c r="D21" s="19" t="n">
        <v>-89402</v>
      </c>
      <c r="E21" s="19" t="n">
        <v>-77550</v>
      </c>
      <c r="F21" s="19" t="n">
        <v>-80000</v>
      </c>
      <c r="G21" s="19" t="n">
        <v>-80000</v>
      </c>
      <c r="H21" s="19" t="n">
        <v>-80000</v>
      </c>
    </row>
    <row r="22" customFormat="false" ht="16.5" hidden="false" customHeight="true" outlineLevel="0" collapsed="false">
      <c r="B22" s="16" t="s">
        <v>128</v>
      </c>
      <c r="C22" s="17" t="n">
        <v>20393</v>
      </c>
      <c r="D22" s="17" t="n">
        <v>-9543</v>
      </c>
      <c r="E22" s="17" t="n">
        <v>-11151</v>
      </c>
      <c r="F22" s="17" t="n">
        <v>-5000</v>
      </c>
      <c r="G22" s="17" t="n">
        <v>-5000</v>
      </c>
      <c r="H22" s="17" t="n">
        <v>-5000</v>
      </c>
    </row>
    <row r="23" customFormat="false" ht="16.5" hidden="false" customHeight="true" outlineLevel="0" collapsed="false">
      <c r="B23" s="18" t="s">
        <v>129</v>
      </c>
      <c r="C23" s="19" t="n">
        <v>-3122</v>
      </c>
      <c r="D23" s="19" t="n">
        <v>-3021</v>
      </c>
      <c r="E23" s="19" t="n">
        <v>-3430</v>
      </c>
      <c r="F23" s="19" t="n">
        <v>-3500</v>
      </c>
      <c r="G23" s="19" t="n">
        <v>-3500</v>
      </c>
      <c r="H23" s="19" t="n">
        <v>-3500</v>
      </c>
    </row>
    <row r="24" customFormat="false" ht="18" hidden="false" customHeight="true" outlineLevel="0" collapsed="false">
      <c r="B24" s="32" t="s">
        <v>130</v>
      </c>
      <c r="C24" s="33" t="n">
        <f aca="false">C20+C21+C22+C23</f>
        <v>-83167</v>
      </c>
      <c r="D24" s="33" t="n">
        <f aca="false">D20+D21+D22+D23</f>
        <v>-116807</v>
      </c>
      <c r="E24" s="33" t="n">
        <f aca="false">E20+E21+E22+E23</f>
        <v>-107156</v>
      </c>
      <c r="F24" s="33" t="n">
        <f aca="false">F20+F21+F22+F23</f>
        <v>-104000</v>
      </c>
      <c r="G24" s="33" t="n">
        <f aca="false">G20+G21+G22+G23</f>
        <v>-104000</v>
      </c>
      <c r="H24" s="33" t="n">
        <f aca="false">H20+H21+H22+H23</f>
        <v>-104000</v>
      </c>
    </row>
    <row r="25" customFormat="false" ht="16.5" hidden="false" customHeight="true" outlineLevel="0" collapsed="false">
      <c r="B25" s="32" t="s">
        <v>131</v>
      </c>
      <c r="C25" s="33" t="n">
        <f aca="false">C13+C18+C24</f>
        <v>-42146</v>
      </c>
      <c r="D25" s="33" t="n">
        <f aca="false">D13+D18+D24</f>
        <v>16071</v>
      </c>
      <c r="E25" s="33" t="n">
        <f aca="false">E13+E18+E24</f>
        <v>-18596</v>
      </c>
      <c r="F25" s="33" t="n">
        <f aca="false">F13+F18+F24</f>
        <v>-342806.997017123</v>
      </c>
      <c r="G25" s="33" t="n">
        <f aca="false">G13+G18+G24</f>
        <v>-358666.980136301</v>
      </c>
      <c r="H25" s="33" t="n">
        <f aca="false">H13+H18+H24</f>
        <v>-374648.422120548</v>
      </c>
    </row>
    <row r="26" customFormat="false" ht="16.5" hidden="false" customHeight="true" outlineLevel="0" collapsed="false">
      <c r="B26" s="16" t="s">
        <v>132</v>
      </c>
      <c r="C26" s="17" t="n">
        <v>38016</v>
      </c>
      <c r="D26" s="17" t="n">
        <v>34940</v>
      </c>
      <c r="E26" s="17" t="n">
        <v>23646</v>
      </c>
      <c r="F26" s="37" t="n">
        <f aca="false">29965</f>
        <v>29965</v>
      </c>
      <c r="G26" s="37" t="n">
        <f aca="false">F42</f>
        <v>0</v>
      </c>
      <c r="H26" s="37" t="n">
        <f aca="false">G42</f>
        <v>0</v>
      </c>
    </row>
    <row r="27" customFormat="false" ht="18" hidden="false" customHeight="true" outlineLevel="0" collapsed="false">
      <c r="B27" s="40" t="s">
        <v>133</v>
      </c>
      <c r="C27" s="41" t="n">
        <f aca="false">C26+C25</f>
        <v>-4130</v>
      </c>
      <c r="D27" s="41" t="n">
        <f aca="false">D26+D25</f>
        <v>51011</v>
      </c>
      <c r="E27" s="41" t="n">
        <f aca="false">E26+E25</f>
        <v>5050</v>
      </c>
      <c r="F27" s="41" t="n">
        <f aca="false">F26+F25</f>
        <v>-312841.997017123</v>
      </c>
      <c r="G27" s="41" t="n">
        <f aca="false">G26+G25</f>
        <v>-358666.980136301</v>
      </c>
      <c r="H27" s="41" t="n">
        <f aca="false">H26+H25</f>
        <v>-374648.422120548</v>
      </c>
    </row>
    <row r="29" customFormat="false" ht="18" hidden="false" customHeight="true" outlineLevel="0" collapsed="false">
      <c r="B29" s="15" t="s">
        <v>134</v>
      </c>
      <c r="C29" s="15"/>
      <c r="D29" s="15"/>
      <c r="E29" s="15"/>
      <c r="F29" s="15"/>
      <c r="G29" s="15"/>
      <c r="H29" s="15"/>
    </row>
    <row r="30" customFormat="false" ht="16.5" hidden="false" customHeight="true" outlineLevel="0" collapsed="false">
      <c r="B30" s="40" t="s">
        <v>135</v>
      </c>
      <c r="C30" s="41" t="n">
        <f aca="false">C13+C15</f>
        <v>108817</v>
      </c>
      <c r="D30" s="41" t="n">
        <f aca="false">D13+D15</f>
        <v>124853</v>
      </c>
      <c r="E30" s="41" t="n">
        <f aca="false">E13+E15</f>
        <v>84669</v>
      </c>
      <c r="F30" s="41" t="n">
        <f aca="false">F13+F15</f>
        <v>-242306.997017123</v>
      </c>
      <c r="G30" s="41" t="n">
        <f aca="false">G13+G15</f>
        <v>-258166.980136301</v>
      </c>
      <c r="H30" s="41" t="n">
        <f aca="false">H13+H15</f>
        <v>-274148.422120548</v>
      </c>
    </row>
    <row r="31" customFormat="false" ht="15.75" hidden="false" customHeight="true" outlineLevel="0" collapsed="false">
      <c r="B31" s="34" t="s">
        <v>136</v>
      </c>
      <c r="C31" s="36" t="n">
        <f aca="false">(C30)/'Income Statement'!C7</f>
        <v>0.297462939119833</v>
      </c>
      <c r="D31" s="36" t="n">
        <f aca="false">(D30)/'Income Statement'!D7</f>
        <v>0.316622202836218</v>
      </c>
      <c r="E31" s="36" t="n">
        <f aca="false">(E30)/'Income Statement'!E7</f>
        <v>0.220903505224572</v>
      </c>
      <c r="F31" s="36" t="n">
        <f aca="false">(F30)/'Income Statement'!F7</f>
        <v>-0.595968284032602</v>
      </c>
      <c r="G31" s="36" t="n">
        <f aca="false">(G30)/'Income Statement'!G7</f>
        <v>-0.59711668193873</v>
      </c>
      <c r="H31" s="36" t="n">
        <f aca="false">(H30)/'Income Statement'!H7</f>
        <v>-0.595157136544026</v>
      </c>
    </row>
  </sheetData>
  <mergeCells count="6">
    <mergeCell ref="B1:H1"/>
    <mergeCell ref="B2:H2"/>
    <mergeCell ref="B4:H4"/>
    <mergeCell ref="B14:H14"/>
    <mergeCell ref="B19:H19"/>
    <mergeCell ref="B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8" min="3" style="0" width="14"/>
  </cols>
  <sheetData>
    <row r="1" customFormat="false" ht="30" hidden="false" customHeight="true" outlineLevel="0" collapsed="false">
      <c r="B1" s="11" t="s">
        <v>137</v>
      </c>
      <c r="C1" s="11"/>
      <c r="D1" s="11"/>
      <c r="E1" s="11"/>
      <c r="F1" s="11"/>
      <c r="G1" s="11"/>
      <c r="H1" s="11"/>
    </row>
    <row r="2" customFormat="false" ht="15" hidden="false" customHeight="false" outlineLevel="0" collapsed="false">
      <c r="B2" s="12" t="s">
        <v>21</v>
      </c>
      <c r="C2" s="12"/>
      <c r="D2" s="12"/>
      <c r="E2" s="12"/>
      <c r="F2" s="12"/>
      <c r="G2" s="12"/>
      <c r="H2" s="12"/>
    </row>
    <row r="3" customFormat="false" ht="19.5" hidden="false" customHeight="true" outlineLevel="0" collapsed="false">
      <c r="B3" s="27" t="s">
        <v>138</v>
      </c>
      <c r="C3" s="28" t="s">
        <v>23</v>
      </c>
      <c r="D3" s="28" t="s">
        <v>24</v>
      </c>
      <c r="E3" s="28" t="s">
        <v>25</v>
      </c>
      <c r="F3" s="29" t="s">
        <v>26</v>
      </c>
      <c r="G3" s="29" t="s">
        <v>27</v>
      </c>
      <c r="H3" s="29" t="s">
        <v>28</v>
      </c>
    </row>
    <row r="4" customFormat="false" ht="18" hidden="false" customHeight="true" outlineLevel="0" collapsed="false">
      <c r="B4" s="15" t="s">
        <v>139</v>
      </c>
      <c r="C4" s="15"/>
      <c r="D4" s="15"/>
      <c r="E4" s="15"/>
      <c r="F4" s="15"/>
      <c r="G4" s="15"/>
      <c r="H4" s="15"/>
    </row>
    <row r="5" customFormat="false" ht="16.5" hidden="false" customHeight="true" outlineLevel="0" collapsed="false">
      <c r="B5" s="16" t="s">
        <v>140</v>
      </c>
      <c r="C5" s="30" t="n">
        <f aca="false">'Income Statement'!C7</f>
        <v>365817</v>
      </c>
      <c r="D5" s="30" t="n">
        <f aca="false">'Income Statement'!D7</f>
        <v>394328</v>
      </c>
      <c r="E5" s="30" t="n">
        <f aca="false">'Income Statement'!E7</f>
        <v>383285</v>
      </c>
      <c r="F5" s="30" t="n">
        <f aca="false">'Income Statement'!F7</f>
        <v>406577</v>
      </c>
      <c r="G5" s="30" t="n">
        <f aca="false">'Income Statement'!G7</f>
        <v>432356</v>
      </c>
      <c r="H5" s="30" t="n">
        <f aca="false">'Income Statement'!H7</f>
        <v>460632</v>
      </c>
    </row>
    <row r="6" customFormat="false" ht="16.5" hidden="false" customHeight="true" outlineLevel="0" collapsed="false">
      <c r="B6" s="18" t="s">
        <v>141</v>
      </c>
      <c r="C6" s="31" t="n">
        <f aca="false">'Income Statement'!C13</f>
        <v>152329</v>
      </c>
      <c r="D6" s="31" t="n">
        <f aca="false">'Income Statement'!D13</f>
        <v>171586</v>
      </c>
      <c r="E6" s="31" t="n">
        <f aca="false">'Income Statement'!E13</f>
        <v>169148</v>
      </c>
      <c r="F6" s="31" t="n">
        <f aca="false">'Income Statement'!F13</f>
        <v>35582.53</v>
      </c>
      <c r="G6" s="31" t="n">
        <f aca="false">'Income Statement'!G13</f>
        <v>40811.625</v>
      </c>
      <c r="H6" s="31" t="n">
        <f aca="false">'Income Statement'!H13</f>
        <v>46732.4</v>
      </c>
    </row>
    <row r="7" customFormat="false" ht="16.5" hidden="false" customHeight="true" outlineLevel="0" collapsed="false">
      <c r="B7" s="16" t="s">
        <v>142</v>
      </c>
      <c r="C7" s="46" t="n">
        <f aca="false">'Income Statement'!C13/'Income Statement'!C7</f>
        <v>0.416407657380603</v>
      </c>
      <c r="D7" s="46" t="n">
        <f aca="false">'Income Statement'!D13/'Income Statement'!D7</f>
        <v>0.435135217382484</v>
      </c>
      <c r="E7" s="46" t="n">
        <f aca="false">'Income Statement'!E13/'Income Statement'!E7</f>
        <v>0.441311295772076</v>
      </c>
      <c r="F7" s="46" t="n">
        <f aca="false">'Income Statement'!F13/'Income Statement'!F7</f>
        <v>0.0875173214421869</v>
      </c>
      <c r="G7" s="46" t="n">
        <f aca="false">'Income Statement'!G13/'Income Statement'!G7</f>
        <v>0.0943935668754452</v>
      </c>
      <c r="H7" s="46" t="n">
        <f aca="false">'Income Statement'!H13/'Income Statement'!H7</f>
        <v>0.101452786606228</v>
      </c>
    </row>
    <row r="8" customFormat="false" ht="16.5" hidden="false" customHeight="true" outlineLevel="0" collapsed="false">
      <c r="B8" s="18" t="s">
        <v>143</v>
      </c>
      <c r="C8" s="31" t="n">
        <f aca="false">'Income Statement'!C19</f>
        <v>108442</v>
      </c>
      <c r="D8" s="31" t="n">
        <f aca="false">'Income Statement'!D19</f>
        <v>120241</v>
      </c>
      <c r="E8" s="31" t="n">
        <f aca="false">'Income Statement'!E19</f>
        <v>114301</v>
      </c>
      <c r="F8" s="31" t="n">
        <f aca="false">'Income Statement'!F19</f>
        <v>-295777.725</v>
      </c>
      <c r="G8" s="31" t="n">
        <f aca="false">'Income Statement'!G19</f>
        <v>-315449.719</v>
      </c>
      <c r="H8" s="31" t="n">
        <f aca="false">'Income Statement'!H19</f>
        <v>-334670.896</v>
      </c>
    </row>
    <row r="9" customFormat="false" ht="16.5" hidden="false" customHeight="true" outlineLevel="0" collapsed="false">
      <c r="B9" s="16" t="s">
        <v>144</v>
      </c>
      <c r="C9" s="46" t="n">
        <f aca="false">'Income Statement'!C19/'Income Statement'!C7</f>
        <v>0.296437836404541</v>
      </c>
      <c r="D9" s="46" t="n">
        <f aca="false">'Income Statement'!D19/'Income Statement'!D7</f>
        <v>0.304926355724169</v>
      </c>
      <c r="E9" s="46" t="n">
        <f aca="false">'Income Statement'!E19/'Income Statement'!E7</f>
        <v>0.298214122650247</v>
      </c>
      <c r="F9" s="46" t="n">
        <f aca="false">'Income Statement'!F19/'Income Statement'!F7</f>
        <v>-0.727482678557813</v>
      </c>
      <c r="G9" s="46" t="n">
        <f aca="false">'Income Statement'!G19/'Income Statement'!G7</f>
        <v>-0.729606433124555</v>
      </c>
      <c r="H9" s="46" t="n">
        <f aca="false">'Income Statement'!H19/'Income Statement'!H7</f>
        <v>-0.726547213393772</v>
      </c>
    </row>
    <row r="10" customFormat="false" ht="16.5" hidden="false" customHeight="true" outlineLevel="0" collapsed="false">
      <c r="B10" s="18" t="s">
        <v>111</v>
      </c>
      <c r="C10" s="31" t="n">
        <f aca="false">'Income Statement'!C25</f>
        <v>94173</v>
      </c>
      <c r="D10" s="31" t="n">
        <f aca="false">'Income Statement'!D25</f>
        <v>100607</v>
      </c>
      <c r="E10" s="31" t="n">
        <f aca="false">'Income Statement'!E25</f>
        <v>83987</v>
      </c>
      <c r="F10" s="31" t="n">
        <f aca="false">'Income Statement'!F25</f>
        <v>-251921.06625</v>
      </c>
      <c r="G10" s="31" t="n">
        <f aca="false">'Income Statement'!G25</f>
        <v>-268642.26115</v>
      </c>
      <c r="H10" s="31" t="n">
        <f aca="false">'Income Statement'!H25</f>
        <v>-284980.2616</v>
      </c>
    </row>
    <row r="11" customFormat="false" ht="16.5" hidden="false" customHeight="true" outlineLevel="0" collapsed="false">
      <c r="B11" s="16" t="s">
        <v>145</v>
      </c>
      <c r="C11" s="46" t="n">
        <f aca="false">'Income Statement'!C25/'Income Statement'!C7</f>
        <v>0.257431994685868</v>
      </c>
      <c r="D11" s="46" t="n">
        <f aca="false">'Income Statement'!D25/'Income Statement'!D7</f>
        <v>0.25513531882088</v>
      </c>
      <c r="E11" s="46" t="n">
        <f aca="false">'Income Statement'!E25/'Income Statement'!E7</f>
        <v>0.219124150436359</v>
      </c>
      <c r="F11" s="46" t="n">
        <f aca="false">'Income Statement'!F25/'Income Statement'!F7</f>
        <v>-0.619614651714189</v>
      </c>
      <c r="G11" s="46" t="n">
        <f aca="false">'Income Statement'!G25/'Income Statement'!G7</f>
        <v>-0.621345051647254</v>
      </c>
      <c r="H11" s="46" t="n">
        <f aca="false">'Income Statement'!H25/'Income Statement'!H7</f>
        <v>-0.618672305875406</v>
      </c>
    </row>
    <row r="12" customFormat="false" ht="16.5" hidden="false" customHeight="true" outlineLevel="0" collapsed="false">
      <c r="B12" s="18" t="s">
        <v>75</v>
      </c>
      <c r="C12" s="47" t="n">
        <f aca="false">'Income Statement'!C29</f>
        <v>5.58426233396584</v>
      </c>
      <c r="D12" s="47" t="n">
        <f aca="false">'Income Statement'!D29</f>
        <v>6.204563675609</v>
      </c>
      <c r="E12" s="47" t="n">
        <f aca="false">'Income Statement'!E29</f>
        <v>5.33454014227642</v>
      </c>
      <c r="F12" s="47" t="n">
        <f aca="false">'Income Statement'!F29</f>
        <v>-16.9074541107383</v>
      </c>
      <c r="G12" s="47" t="n">
        <f aca="false">'Income Statement'!G29</f>
        <v>-18.2749837517007</v>
      </c>
      <c r="H12" s="47" t="n">
        <f aca="false">'Income Statement'!H29</f>
        <v>-19.6538111448276</v>
      </c>
    </row>
    <row r="13" customFormat="false" ht="18" hidden="false" customHeight="true" outlineLevel="0" collapsed="false">
      <c r="B13" s="15" t="s">
        <v>146</v>
      </c>
      <c r="C13" s="15"/>
      <c r="D13" s="15"/>
      <c r="E13" s="15"/>
      <c r="F13" s="15"/>
      <c r="G13" s="15"/>
      <c r="H13" s="15"/>
    </row>
    <row r="14" customFormat="false" ht="16.5" hidden="false" customHeight="true" outlineLevel="0" collapsed="false">
      <c r="B14" s="16" t="s">
        <v>147</v>
      </c>
      <c r="C14" s="30" t="n">
        <f aca="false">'Cash Flow'!C13+'Cash Flow'!C15</f>
        <v>108817</v>
      </c>
      <c r="D14" s="30" t="n">
        <f aca="false">'Cash Flow'!D13+'Cash Flow'!D15</f>
        <v>124853</v>
      </c>
      <c r="E14" s="30" t="n">
        <f aca="false">'Cash Flow'!E13+'Cash Flow'!E15</f>
        <v>84669</v>
      </c>
      <c r="F14" s="30" t="n">
        <f aca="false">'Cash Flow'!F13+'Cash Flow'!F15</f>
        <v>-242306.997017123</v>
      </c>
      <c r="G14" s="30" t="n">
        <f aca="false">'Cash Flow'!G13+'Cash Flow'!G15</f>
        <v>-258166.980136301</v>
      </c>
      <c r="H14" s="30" t="n">
        <f aca="false">'Cash Flow'!H13+'Cash Flow'!H15</f>
        <v>-274148.422120548</v>
      </c>
    </row>
    <row r="15" customFormat="false" ht="16.5" hidden="false" customHeight="true" outlineLevel="0" collapsed="false">
      <c r="B15" s="18" t="s">
        <v>148</v>
      </c>
      <c r="C15" s="48" t="n">
        <f aca="false">('Cash Flow'!C13+'Cash Flow'!C15)/'Income Statement'!C7</f>
        <v>0.297462939119833</v>
      </c>
      <c r="D15" s="48" t="n">
        <f aca="false">('Cash Flow'!D13+'Cash Flow'!D15)/'Income Statement'!D7</f>
        <v>0.316622202836218</v>
      </c>
      <c r="E15" s="48" t="n">
        <f aca="false">('Cash Flow'!E13+'Cash Flow'!E15)/'Income Statement'!E7</f>
        <v>0.220903505224572</v>
      </c>
      <c r="F15" s="48" t="n">
        <f aca="false">('Cash Flow'!F13+'Cash Flow'!F15)/'Income Statement'!F7</f>
        <v>-0.595968284032602</v>
      </c>
      <c r="G15" s="48" t="n">
        <f aca="false">('Cash Flow'!G13+'Cash Flow'!G15)/'Income Statement'!G7</f>
        <v>-0.59711668193873</v>
      </c>
      <c r="H15" s="48" t="n">
        <f aca="false">('Cash Flow'!H13+'Cash Flow'!H15)/'Income Statement'!H7</f>
        <v>-0.595157136544026</v>
      </c>
    </row>
    <row r="16" customFormat="false" ht="16.5" hidden="false" customHeight="true" outlineLevel="0" collapsed="false">
      <c r="B16" s="16" t="s">
        <v>149</v>
      </c>
      <c r="C16" s="30" t="n">
        <f aca="false">'Cash Flow'!C27</f>
        <v>-4130</v>
      </c>
      <c r="D16" s="30" t="n">
        <f aca="false">'Cash Flow'!D27</f>
        <v>51011</v>
      </c>
      <c r="E16" s="30" t="n">
        <f aca="false">'Cash Flow'!E27</f>
        <v>5050</v>
      </c>
      <c r="F16" s="30" t="n">
        <f aca="false">'Cash Flow'!F27</f>
        <v>-312841.997017123</v>
      </c>
      <c r="G16" s="30" t="n">
        <f aca="false">'Cash Flow'!G27</f>
        <v>-358666.980136301</v>
      </c>
      <c r="H16" s="30" t="n">
        <f aca="false">'Cash Flow'!H27</f>
        <v>-374648.422120548</v>
      </c>
    </row>
    <row r="17" customFormat="false" ht="16.5" hidden="false" customHeight="true" outlineLevel="0" collapsed="false">
      <c r="B17" s="18" t="s">
        <v>150</v>
      </c>
      <c r="C17" s="31" t="n">
        <f aca="false">'Balance Sheet'!C17</f>
        <v>347061</v>
      </c>
      <c r="D17" s="31" t="n">
        <f aca="false">'Balance Sheet'!D17</f>
        <v>320007</v>
      </c>
      <c r="E17" s="31" t="n">
        <f aca="false">'Balance Sheet'!E17</f>
        <v>321106</v>
      </c>
      <c r="F17" s="31" t="n">
        <f aca="false">'Balance Sheet'!F17</f>
        <v>280092.367342466</v>
      </c>
      <c r="G17" s="31" t="n">
        <f aca="false">'Balance Sheet'!G17</f>
        <v>281528.702835616</v>
      </c>
      <c r="H17" s="31" t="n">
        <f aca="false">'Balance Sheet'!H17</f>
        <v>283127.818493151</v>
      </c>
    </row>
    <row r="18" customFormat="false" ht="16.5" hidden="false" customHeight="true" outlineLevel="0" collapsed="false">
      <c r="B18" s="16" t="s">
        <v>151</v>
      </c>
      <c r="C18" s="30" t="n">
        <f aca="false">'Balance Sheet'!C20+'Balance Sheet'!C25</f>
        <v>120275</v>
      </c>
      <c r="D18" s="30" t="n">
        <f aca="false">'Balance Sheet'!D20+'Balance Sheet'!D25</f>
        <v>120069</v>
      </c>
      <c r="E18" s="30" t="n">
        <f aca="false">'Balance Sheet'!E20+'Balance Sheet'!E25</f>
        <v>105103</v>
      </c>
      <c r="F18" s="30" t="n">
        <f aca="false">'Balance Sheet'!F20+'Balance Sheet'!F25</f>
        <v>100000</v>
      </c>
      <c r="G18" s="30" t="n">
        <f aca="false">'Balance Sheet'!G20+'Balance Sheet'!G25</f>
        <v>100000</v>
      </c>
      <c r="H18" s="30" t="n">
        <f aca="false">'Balance Sheet'!H20+'Balance Sheet'!H25</f>
        <v>100000</v>
      </c>
    </row>
    <row r="19" customFormat="false" ht="16.5" hidden="false" customHeight="true" outlineLevel="0" collapsed="false">
      <c r="B19" s="18" t="s">
        <v>152</v>
      </c>
      <c r="C19" s="31" t="n">
        <f aca="false">'Balance Sheet'!C33</f>
        <v>61536</v>
      </c>
      <c r="D19" s="31" t="n">
        <f aca="false">'Balance Sheet'!D33</f>
        <v>50672</v>
      </c>
      <c r="E19" s="31" t="n">
        <f aca="false">'Balance Sheet'!E33</f>
        <v>62146</v>
      </c>
      <c r="F19" s="31" t="n">
        <f aca="false">'Balance Sheet'!F33</f>
        <v>-177135.06625</v>
      </c>
      <c r="G19" s="31" t="n">
        <f aca="false">'Balance Sheet'!G33</f>
        <v>-440777.3274</v>
      </c>
      <c r="H19" s="31" t="n">
        <f aca="false">'Balance Sheet'!H33</f>
        <v>-720757.589</v>
      </c>
    </row>
  </sheetData>
  <mergeCells count="4">
    <mergeCell ref="B1:H1"/>
    <mergeCell ref="B2:H2"/>
    <mergeCell ref="B4:H4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2026-04-28T23:37:13Z</dcterms:created>
  <dc:creator>openpyxl</dc:creator>
  <dc:description/>
  <dc:language>en-US</dc:language>
  <cp:lastModifiedBy/>
  <dcterms:modified xsi:type="dcterms:W3CDTF">2026-04-28T23:37:13Z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